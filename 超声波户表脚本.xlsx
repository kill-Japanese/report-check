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@毛文豪(80018842)</t>
        </is>
      </c>
      <c r="L153" s="0" t="inlineStr">
        <is>
          <t>2026-07-29</t>
        </is>
      </c>
      <c r="M153" s="0" t="inlineStr">
        <is>
          <t>2026-07-30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t="inlineStr">
        <is>
          <t>日常工作</t>
        </is>
      </c>
      <c r="F162" t="inlineStr">
        <is>
          <t>非洲工装-曾翔</t>
        </is>
      </c>
      <c r="G162" t="inlineStr">
        <is>
          <t>1900-01-01</t>
        </is>
      </c>
      <c r="H162" t="inlineStr">
        <is>
          <t>2100-01-01</t>
        </is>
      </c>
      <c r="I162" t="inlineStr">
        <is>
          <t>非洲蓝牙工装</t>
        </is>
      </c>
      <c r="J162" t="inlineStr">
        <is>
          <t>固件工程师-开发</t>
        </is>
      </c>
      <c r="K162" t="inlineStr">
        <is>
          <t>@项家祺(80004213)(项家祺)</t>
        </is>
      </c>
      <c r="L162" t="inlineStr">
        <is>
          <t>2026-07-27</t>
        </is>
      </c>
      <c r="M162" t="inlineStr">
        <is>
          <t>2026-08-09</t>
        </is>
      </c>
      <c r="N162" t="n">
        <v>8</v>
      </c>
      <c r="O162">
        <f>任务计划表!K162</f>
        <v/>
      </c>
      <c r="P162">
        <f>IF(IF(任务计划表!L162="/",人员资源情况!$A$2,L162)&gt;M162,M162,(IF(任务计划表!L162="/",人员资源情况!$A$2,L162)))</f>
        <v/>
      </c>
      <c r="Q162">
        <f>IF(M162="/",人员资源情况!$B$2,任务计划表!M162)</f>
        <v/>
      </c>
      <c r="R162">
        <f>任务计划表!N162</f>
        <v/>
      </c>
      <c r="S162">
        <f>IF(O162=人员资源情况!C$2,1,0)</f>
        <v/>
      </c>
      <c r="T162">
        <f>IF(P162&gt;=人员资源情况!A$2,1,0)</f>
        <v/>
      </c>
      <c r="U162">
        <f>IF(Q162&lt;=人员资源情况!B$2,1,0)</f>
        <v/>
      </c>
      <c r="V162">
        <f>IF(T162*U162,Q162-P162,IF(T162&gt;U162,人员资源情况!B$2-P162,IF(T162&lt;U162,任务计划表!Q162-人员资源情况!A$2,0)))*R162*S162</f>
        <v/>
      </c>
      <c r="W162">
        <f>IF(V162&lt;0,0,V162)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2026-07-23T07:21:09Z</dcterms:modified>
  <cp:lastModifiedBy>项家祺</cp:lastModifiedBy>
</cp:coreProperties>
</file>