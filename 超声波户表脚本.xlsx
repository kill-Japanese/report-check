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80004213\Desktop\"/>
    </mc:Choice>
  </mc:AlternateContent>
  <xr:revisionPtr revIDLastSave="0" documentId="13_ncr:1_{1640238E-9FB0-4B2A-90C2-53ABAFB4525F}" xr6:coauthVersionLast="47" xr6:coauthVersionMax="47" xr10:uidLastSave="{00000000-0000-0000-0000-000000000000}"/>
  <bookViews>
    <workbookView xWindow="-110" yWindow="-110" windowWidth="22620" windowHeight="13620" activeTab="1" xr2:uid="{752BAC88-3D22-6345-9E5D-6A586CA68B77}"/>
  </bookViews>
  <sheets>
    <sheet name="人员资源情况" sheetId="1" r:id="rId1"/>
    <sheet name="任务计划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75" i="2" l="1"/>
  <c r="Q75" i="2"/>
  <c r="U75" i="2" s="1"/>
  <c r="P75" i="2"/>
  <c r="T75" i="2" s="1"/>
  <c r="V75" i="2" s="1"/>
  <c r="W75" i="2" s="1"/>
  <c r="O75" i="2"/>
  <c r="S75" i="2" s="1"/>
  <c r="R74" i="2"/>
  <c r="Q74" i="2"/>
  <c r="U74" i="2" s="1"/>
  <c r="P74" i="2"/>
  <c r="T74" i="2" s="1"/>
  <c r="V74" i="2" s="1"/>
  <c r="W74" i="2" s="1"/>
  <c r="O74" i="2"/>
  <c r="S74" i="2" s="1"/>
  <c r="R73" i="2"/>
  <c r="Q73" i="2"/>
  <c r="U73" i="2" s="1"/>
  <c r="P73" i="2"/>
  <c r="T73" i="2" s="1"/>
  <c r="O73" i="2"/>
  <c r="S73" i="2" s="1"/>
  <c r="U72" i="2"/>
  <c r="R72" i="2"/>
  <c r="Q72" i="2"/>
  <c r="P72" i="2"/>
  <c r="T72" i="2" s="1"/>
  <c r="V72" i="2" s="1"/>
  <c r="W72" i="2" s="1"/>
  <c r="O72" i="2"/>
  <c r="S72" i="2" s="1"/>
  <c r="R71" i="2"/>
  <c r="Q71" i="2"/>
  <c r="U71" i="2" s="1"/>
  <c r="P71" i="2"/>
  <c r="T71" i="2" s="1"/>
  <c r="O71" i="2"/>
  <c r="S71" i="2" s="1"/>
  <c r="R70" i="2"/>
  <c r="Q70" i="2"/>
  <c r="U70" i="2" s="1"/>
  <c r="P70" i="2"/>
  <c r="T70" i="2" s="1"/>
  <c r="O70" i="2"/>
  <c r="S70" i="2" s="1"/>
  <c r="U69" i="2"/>
  <c r="R69" i="2"/>
  <c r="Q69" i="2"/>
  <c r="P69" i="2"/>
  <c r="T69" i="2" s="1"/>
  <c r="O69" i="2"/>
  <c r="S69" i="2" s="1"/>
  <c r="R68" i="2"/>
  <c r="Q68" i="2"/>
  <c r="U68" i="2" s="1"/>
  <c r="P68" i="2"/>
  <c r="T68" i="2" s="1"/>
  <c r="O68" i="2"/>
  <c r="S68" i="2" s="1"/>
  <c r="S67" i="2"/>
  <c r="R67" i="2"/>
  <c r="Q67" i="2"/>
  <c r="U67" i="2" s="1"/>
  <c r="P67" i="2"/>
  <c r="T67" i="2" s="1"/>
  <c r="O67" i="2"/>
  <c r="R66" i="2"/>
  <c r="Q66" i="2"/>
  <c r="U66" i="2" s="1"/>
  <c r="P66" i="2"/>
  <c r="T66" i="2" s="1"/>
  <c r="O66" i="2"/>
  <c r="S66" i="2" s="1"/>
  <c r="R65" i="2"/>
  <c r="Q65" i="2"/>
  <c r="U65" i="2" s="1"/>
  <c r="P65" i="2"/>
  <c r="T65" i="2" s="1"/>
  <c r="V65" i="2" s="1"/>
  <c r="W65" i="2" s="1"/>
  <c r="O65" i="2"/>
  <c r="S65" i="2" s="1"/>
  <c r="T64" i="2"/>
  <c r="S64" i="2"/>
  <c r="R64" i="2"/>
  <c r="Q64" i="2"/>
  <c r="U64" i="2" s="1"/>
  <c r="P64" i="2"/>
  <c r="O64" i="2"/>
  <c r="R63" i="2"/>
  <c r="Q63" i="2"/>
  <c r="U63" i="2" s="1"/>
  <c r="P63" i="2"/>
  <c r="T63" i="2" s="1"/>
  <c r="O63" i="2"/>
  <c r="S63" i="2" s="1"/>
  <c r="R62" i="2"/>
  <c r="Q62" i="2"/>
  <c r="U62" i="2" s="1"/>
  <c r="P62" i="2"/>
  <c r="T62" i="2" s="1"/>
  <c r="V62" i="2" s="1"/>
  <c r="W62" i="2" s="1"/>
  <c r="O62" i="2"/>
  <c r="S62" i="2" s="1"/>
  <c r="R61" i="2"/>
  <c r="Q61" i="2"/>
  <c r="U61" i="2" s="1"/>
  <c r="P61" i="2"/>
  <c r="T61" i="2" s="1"/>
  <c r="O61" i="2"/>
  <c r="S61" i="2" s="1"/>
  <c r="T60" i="2"/>
  <c r="R60" i="2"/>
  <c r="Q60" i="2"/>
  <c r="U60" i="2" s="1"/>
  <c r="P60" i="2"/>
  <c r="O60" i="2"/>
  <c r="S60" i="2" s="1"/>
  <c r="R59" i="2"/>
  <c r="Q59" i="2"/>
  <c r="U59" i="2" s="1"/>
  <c r="P59" i="2"/>
  <c r="T59" i="2" s="1"/>
  <c r="O59" i="2"/>
  <c r="S59" i="2" s="1"/>
  <c r="T58" i="2"/>
  <c r="R58" i="2"/>
  <c r="Q58" i="2"/>
  <c r="U58" i="2" s="1"/>
  <c r="P58" i="2"/>
  <c r="O58" i="2"/>
  <c r="S58" i="2" s="1"/>
  <c r="T57" i="2"/>
  <c r="R57" i="2"/>
  <c r="Q57" i="2"/>
  <c r="U57" i="2" s="1"/>
  <c r="P57" i="2"/>
  <c r="O57" i="2"/>
  <c r="S57" i="2" s="1"/>
  <c r="T56" i="2"/>
  <c r="S56" i="2"/>
  <c r="R56" i="2"/>
  <c r="Q56" i="2"/>
  <c r="U56" i="2" s="1"/>
  <c r="P56" i="2"/>
  <c r="O56" i="2"/>
  <c r="U55" i="2"/>
  <c r="S55" i="2"/>
  <c r="R55" i="2"/>
  <c r="Q55" i="2"/>
  <c r="P55" i="2"/>
  <c r="T55" i="2" s="1"/>
  <c r="V55" i="2" s="1"/>
  <c r="W55" i="2" s="1"/>
  <c r="O55" i="2"/>
  <c r="U54" i="2"/>
  <c r="R54" i="2"/>
  <c r="Q54" i="2"/>
  <c r="P54" i="2"/>
  <c r="T54" i="2" s="1"/>
  <c r="O54" i="2"/>
  <c r="S54" i="2" s="1"/>
  <c r="S53" i="2"/>
  <c r="R53" i="2"/>
  <c r="Q53" i="2"/>
  <c r="U53" i="2" s="1"/>
  <c r="P53" i="2"/>
  <c r="T53" i="2" s="1"/>
  <c r="V53" i="2" s="1"/>
  <c r="W53" i="2" s="1"/>
  <c r="O53" i="2"/>
  <c r="R52" i="2"/>
  <c r="Q52" i="2"/>
  <c r="U52" i="2" s="1"/>
  <c r="P52" i="2"/>
  <c r="T52" i="2" s="1"/>
  <c r="O52" i="2"/>
  <c r="S52" i="2" s="1"/>
  <c r="T51" i="2"/>
  <c r="S51" i="2"/>
  <c r="R51" i="2"/>
  <c r="Q51" i="2"/>
  <c r="U51" i="2" s="1"/>
  <c r="P51" i="2"/>
  <c r="O51" i="2"/>
  <c r="R50" i="2"/>
  <c r="Q50" i="2"/>
  <c r="U50" i="2" s="1"/>
  <c r="P50" i="2"/>
  <c r="T50" i="2" s="1"/>
  <c r="O50" i="2"/>
  <c r="S50" i="2" s="1"/>
  <c r="R49" i="2"/>
  <c r="Q49" i="2"/>
  <c r="U49" i="2" s="1"/>
  <c r="P49" i="2"/>
  <c r="T49" i="2" s="1"/>
  <c r="O49" i="2"/>
  <c r="S49" i="2" s="1"/>
  <c r="R48" i="2"/>
  <c r="Q48" i="2"/>
  <c r="U48" i="2" s="1"/>
  <c r="P48" i="2"/>
  <c r="T48" i="2" s="1"/>
  <c r="O48" i="2"/>
  <c r="S48" i="2" s="1"/>
  <c r="T47" i="2"/>
  <c r="R47" i="2"/>
  <c r="Q47" i="2"/>
  <c r="U47" i="2" s="1"/>
  <c r="P47" i="2"/>
  <c r="O47" i="2"/>
  <c r="S47" i="2" s="1"/>
  <c r="R46" i="2"/>
  <c r="Q46" i="2"/>
  <c r="U46" i="2" s="1"/>
  <c r="P46" i="2"/>
  <c r="T46" i="2" s="1"/>
  <c r="O46" i="2"/>
  <c r="S46" i="2" s="1"/>
  <c r="R45" i="2"/>
  <c r="Q45" i="2"/>
  <c r="U45" i="2" s="1"/>
  <c r="P45" i="2"/>
  <c r="T45" i="2" s="1"/>
  <c r="O45" i="2"/>
  <c r="S45" i="2" s="1"/>
  <c r="R44" i="2"/>
  <c r="Q44" i="2"/>
  <c r="U44" i="2" s="1"/>
  <c r="P44" i="2"/>
  <c r="T44" i="2" s="1"/>
  <c r="O44" i="2"/>
  <c r="S44" i="2" s="1"/>
  <c r="R43" i="2"/>
  <c r="Q43" i="2"/>
  <c r="U43" i="2" s="1"/>
  <c r="P43" i="2"/>
  <c r="T43" i="2" s="1"/>
  <c r="O43" i="2"/>
  <c r="S43" i="2" s="1"/>
  <c r="S42" i="2"/>
  <c r="R42" i="2"/>
  <c r="Q42" i="2"/>
  <c r="U42" i="2" s="1"/>
  <c r="P42" i="2"/>
  <c r="T42" i="2" s="1"/>
  <c r="V42" i="2" s="1"/>
  <c r="W42" i="2" s="1"/>
  <c r="O42" i="2"/>
  <c r="R41" i="2"/>
  <c r="Q41" i="2"/>
  <c r="U41" i="2" s="1"/>
  <c r="P41" i="2"/>
  <c r="T41" i="2" s="1"/>
  <c r="O41" i="2"/>
  <c r="S41" i="2" s="1"/>
  <c r="U40" i="2"/>
  <c r="S40" i="2"/>
  <c r="R40" i="2"/>
  <c r="Q40" i="2"/>
  <c r="P40" i="2"/>
  <c r="T40" i="2" s="1"/>
  <c r="O40" i="2"/>
  <c r="R39" i="2"/>
  <c r="Q39" i="2"/>
  <c r="U39" i="2" s="1"/>
  <c r="P39" i="2"/>
  <c r="T39" i="2" s="1"/>
  <c r="O39" i="2"/>
  <c r="S39" i="2" s="1"/>
  <c r="U38" i="2"/>
  <c r="R38" i="2"/>
  <c r="Q38" i="2"/>
  <c r="P38" i="2"/>
  <c r="T38" i="2" s="1"/>
  <c r="V38" i="2" s="1"/>
  <c r="W38" i="2" s="1"/>
  <c r="O38" i="2"/>
  <c r="S38" i="2" s="1"/>
  <c r="R37" i="2"/>
  <c r="Q37" i="2"/>
  <c r="U37" i="2" s="1"/>
  <c r="P37" i="2"/>
  <c r="T37" i="2" s="1"/>
  <c r="O37" i="2"/>
  <c r="S37" i="2" s="1"/>
  <c r="R36" i="2"/>
  <c r="Q36" i="2"/>
  <c r="U36" i="2" s="1"/>
  <c r="P36" i="2"/>
  <c r="T36" i="2" s="1"/>
  <c r="O36" i="2"/>
  <c r="S36" i="2" s="1"/>
  <c r="S35" i="2"/>
  <c r="R35" i="2"/>
  <c r="Q35" i="2"/>
  <c r="U35" i="2" s="1"/>
  <c r="P35" i="2"/>
  <c r="T35" i="2" s="1"/>
  <c r="O35" i="2"/>
  <c r="R34" i="2"/>
  <c r="Q34" i="2"/>
  <c r="U34" i="2" s="1"/>
  <c r="P34" i="2"/>
  <c r="T34" i="2" s="1"/>
  <c r="O34" i="2"/>
  <c r="S34" i="2" s="1"/>
  <c r="R33" i="2"/>
  <c r="Q33" i="2"/>
  <c r="U33" i="2" s="1"/>
  <c r="V33" i="2" s="1"/>
  <c r="W33" i="2" s="1"/>
  <c r="P33" i="2"/>
  <c r="T33" i="2" s="1"/>
  <c r="O33" i="2"/>
  <c r="S33" i="2" s="1"/>
  <c r="R32" i="2"/>
  <c r="Q32" i="2"/>
  <c r="U32" i="2" s="1"/>
  <c r="P32" i="2"/>
  <c r="T32" i="2" s="1"/>
  <c r="O32" i="2"/>
  <c r="S32" i="2" s="1"/>
  <c r="U31" i="2"/>
  <c r="R31" i="2"/>
  <c r="Q31" i="2"/>
  <c r="P31" i="2"/>
  <c r="T31" i="2" s="1"/>
  <c r="O31" i="2"/>
  <c r="S31" i="2" s="1"/>
  <c r="S30" i="2"/>
  <c r="R30" i="2"/>
  <c r="Q30" i="2"/>
  <c r="U30" i="2" s="1"/>
  <c r="P30" i="2"/>
  <c r="T30" i="2" s="1"/>
  <c r="V30" i="2" s="1"/>
  <c r="W30" i="2" s="1"/>
  <c r="O30" i="2"/>
  <c r="R29" i="2"/>
  <c r="Q29" i="2"/>
  <c r="U29" i="2" s="1"/>
  <c r="P29" i="2"/>
  <c r="T29" i="2" s="1"/>
  <c r="V29" i="2" s="1"/>
  <c r="W29" i="2" s="1"/>
  <c r="O29" i="2"/>
  <c r="S29" i="2" s="1"/>
  <c r="R28" i="2"/>
  <c r="Q28" i="2"/>
  <c r="U28" i="2" s="1"/>
  <c r="P28" i="2"/>
  <c r="T28" i="2" s="1"/>
  <c r="O28" i="2"/>
  <c r="S28" i="2" s="1"/>
  <c r="R27" i="2"/>
  <c r="Q27" i="2"/>
  <c r="U27" i="2" s="1"/>
  <c r="P27" i="2"/>
  <c r="T27" i="2" s="1"/>
  <c r="O27" i="2"/>
  <c r="S27" i="2" s="1"/>
  <c r="T26" i="2"/>
  <c r="R26" i="2"/>
  <c r="Q26" i="2"/>
  <c r="U26" i="2" s="1"/>
  <c r="P26" i="2"/>
  <c r="O26" i="2"/>
  <c r="S26" i="2" s="1"/>
  <c r="T25" i="2"/>
  <c r="R25" i="2"/>
  <c r="Q25" i="2"/>
  <c r="U25" i="2" s="1"/>
  <c r="P25" i="2"/>
  <c r="O25" i="2"/>
  <c r="S25" i="2" s="1"/>
  <c r="T24" i="2"/>
  <c r="S24" i="2"/>
  <c r="R24" i="2"/>
  <c r="Q24" i="2"/>
  <c r="U24" i="2" s="1"/>
  <c r="P24" i="2"/>
  <c r="O24" i="2"/>
  <c r="R23" i="2"/>
  <c r="Q23" i="2"/>
  <c r="U23" i="2" s="1"/>
  <c r="P23" i="2"/>
  <c r="T23" i="2" s="1"/>
  <c r="O23" i="2"/>
  <c r="S23" i="2" s="1"/>
  <c r="U22" i="2"/>
  <c r="R22" i="2"/>
  <c r="Q22" i="2"/>
  <c r="P22" i="2"/>
  <c r="T22" i="2" s="1"/>
  <c r="O22" i="2"/>
  <c r="S22" i="2" s="1"/>
  <c r="U21" i="2"/>
  <c r="T21" i="2"/>
  <c r="R21" i="2"/>
  <c r="Q21" i="2"/>
  <c r="P21" i="2"/>
  <c r="O21" i="2"/>
  <c r="S21" i="2" s="1"/>
  <c r="R20" i="2"/>
  <c r="Q20" i="2"/>
  <c r="U20" i="2" s="1"/>
  <c r="P20" i="2"/>
  <c r="T20" i="2" s="1"/>
  <c r="O20" i="2"/>
  <c r="S20" i="2" s="1"/>
  <c r="R19" i="2"/>
  <c r="Q19" i="2"/>
  <c r="U19" i="2" s="1"/>
  <c r="P19" i="2"/>
  <c r="T19" i="2" s="1"/>
  <c r="O19" i="2"/>
  <c r="S19" i="2" s="1"/>
  <c r="R18" i="2"/>
  <c r="Q18" i="2"/>
  <c r="U18" i="2" s="1"/>
  <c r="P18" i="2"/>
  <c r="T18" i="2" s="1"/>
  <c r="O18" i="2"/>
  <c r="S18" i="2" s="1"/>
  <c r="U17" i="2"/>
  <c r="S17" i="2"/>
  <c r="R17" i="2"/>
  <c r="Q17" i="2"/>
  <c r="P17" i="2"/>
  <c r="T17" i="2" s="1"/>
  <c r="V17" i="2" s="1"/>
  <c r="W17" i="2" s="1"/>
  <c r="O17" i="2"/>
  <c r="U16" i="2"/>
  <c r="T16" i="2"/>
  <c r="S16" i="2"/>
  <c r="R16" i="2"/>
  <c r="Q16" i="2"/>
  <c r="P16" i="2"/>
  <c r="O16" i="2"/>
  <c r="U15" i="2"/>
  <c r="R15" i="2"/>
  <c r="Q15" i="2"/>
  <c r="P15" i="2"/>
  <c r="T15" i="2" s="1"/>
  <c r="V15" i="2" s="1"/>
  <c r="W15" i="2" s="1"/>
  <c r="O15" i="2"/>
  <c r="S15" i="2" s="1"/>
  <c r="T14" i="2"/>
  <c r="R14" i="2"/>
  <c r="Q14" i="2"/>
  <c r="U14" i="2" s="1"/>
  <c r="P14" i="2"/>
  <c r="O14" i="2"/>
  <c r="S14" i="2" s="1"/>
  <c r="R13" i="2"/>
  <c r="Q13" i="2"/>
  <c r="U13" i="2" s="1"/>
  <c r="P13" i="2"/>
  <c r="T13" i="2" s="1"/>
  <c r="O13" i="2"/>
  <c r="S13" i="2" s="1"/>
  <c r="R12" i="2"/>
  <c r="Q12" i="2"/>
  <c r="U12" i="2" s="1"/>
  <c r="V12" i="2" s="1"/>
  <c r="W12" i="2" s="1"/>
  <c r="P12" i="2"/>
  <c r="T12" i="2" s="1"/>
  <c r="O12" i="2"/>
  <c r="S12" i="2" s="1"/>
  <c r="R11" i="2"/>
  <c r="Q11" i="2"/>
  <c r="U11" i="2" s="1"/>
  <c r="P11" i="2"/>
  <c r="T11" i="2" s="1"/>
  <c r="O11" i="2"/>
  <c r="S11" i="2" s="1"/>
  <c r="U10" i="2"/>
  <c r="T10" i="2"/>
  <c r="R10" i="2"/>
  <c r="Q10" i="2"/>
  <c r="P10" i="2"/>
  <c r="O10" i="2"/>
  <c r="S10" i="2" s="1"/>
  <c r="R9" i="2"/>
  <c r="Q9" i="2"/>
  <c r="U9" i="2" s="1"/>
  <c r="P9" i="2"/>
  <c r="T9" i="2" s="1"/>
  <c r="O9" i="2"/>
  <c r="S9" i="2" s="1"/>
  <c r="R8" i="2"/>
  <c r="Q8" i="2"/>
  <c r="U8" i="2" s="1"/>
  <c r="P8" i="2"/>
  <c r="T8" i="2" s="1"/>
  <c r="V8" i="2" s="1"/>
  <c r="W8" i="2" s="1"/>
  <c r="O8" i="2"/>
  <c r="S8" i="2" s="1"/>
  <c r="R7" i="2"/>
  <c r="Q7" i="2"/>
  <c r="U7" i="2" s="1"/>
  <c r="P7" i="2"/>
  <c r="T7" i="2" s="1"/>
  <c r="O7" i="2"/>
  <c r="S7" i="2" s="1"/>
  <c r="U6" i="2"/>
  <c r="R6" i="2"/>
  <c r="Q6" i="2"/>
  <c r="P6" i="2"/>
  <c r="T6" i="2" s="1"/>
  <c r="O6" i="2"/>
  <c r="S6" i="2" s="1"/>
  <c r="R5" i="2"/>
  <c r="Q5" i="2"/>
  <c r="U5" i="2" s="1"/>
  <c r="P5" i="2"/>
  <c r="T5" i="2" s="1"/>
  <c r="O5" i="2"/>
  <c r="S5" i="2" s="1"/>
  <c r="R4" i="2"/>
  <c r="Q4" i="2"/>
  <c r="U4" i="2" s="1"/>
  <c r="P4" i="2"/>
  <c r="T4" i="2" s="1"/>
  <c r="V4" i="2" s="1"/>
  <c r="W4" i="2" s="1"/>
  <c r="O4" i="2"/>
  <c r="S4" i="2" s="1"/>
  <c r="V69" i="2" l="1"/>
  <c r="W69" i="2" s="1"/>
  <c r="V23" i="2"/>
  <c r="W23" i="2" s="1"/>
  <c r="V49" i="2"/>
  <c r="W49" i="2" s="1"/>
  <c r="V63" i="2"/>
  <c r="W63" i="2" s="1"/>
  <c r="V19" i="2"/>
  <c r="W19" i="2" s="1"/>
  <c r="V45" i="2"/>
  <c r="W45" i="2" s="1"/>
  <c r="V36" i="2"/>
  <c r="W36" i="2" s="1"/>
  <c r="V54" i="2"/>
  <c r="W54" i="2" s="1"/>
  <c r="V22" i="2"/>
  <c r="W22" i="2" s="1"/>
  <c r="V24" i="2"/>
  <c r="W24" i="2" s="1"/>
  <c r="V51" i="2"/>
  <c r="W51" i="2" s="1"/>
  <c r="V56" i="2"/>
  <c r="W56" i="2" s="1"/>
  <c r="V21" i="2"/>
  <c r="W21" i="2" s="1"/>
  <c r="V58" i="2"/>
  <c r="W58" i="2" s="1"/>
  <c r="V28" i="2"/>
  <c r="W28" i="2" s="1"/>
  <c r="V14" i="2"/>
  <c r="W14" i="2" s="1"/>
  <c r="V31" i="2"/>
  <c r="W31" i="2" s="1"/>
  <c r="V40" i="2"/>
  <c r="W40" i="2" s="1"/>
  <c r="V60" i="2"/>
  <c r="W60" i="2" s="1"/>
  <c r="V34" i="2"/>
  <c r="W34" i="2" s="1"/>
  <c r="V6" i="2"/>
  <c r="W6" i="2" s="1"/>
  <c r="V32" i="2"/>
  <c r="W32" i="2" s="1"/>
  <c r="V47" i="2"/>
  <c r="W47" i="2" s="1"/>
  <c r="V61" i="2"/>
  <c r="W61" i="2" s="1"/>
  <c r="V13" i="2"/>
  <c r="W13" i="2" s="1"/>
  <c r="V10" i="2"/>
  <c r="W10" i="2" s="1"/>
  <c r="V67" i="2"/>
  <c r="W67" i="2" s="1"/>
  <c r="V70" i="2"/>
  <c r="W70" i="2" s="1"/>
  <c r="V35" i="2"/>
  <c r="W35" i="2" s="1"/>
  <c r="V7" i="2"/>
  <c r="W7" i="2" s="1"/>
  <c r="V48" i="2"/>
  <c r="W48" i="2" s="1"/>
  <c r="V39" i="2"/>
  <c r="W39" i="2" s="1"/>
  <c r="V44" i="2"/>
  <c r="W44" i="2" s="1"/>
  <c r="V46" i="2"/>
  <c r="W46" i="2" s="1"/>
  <c r="V26" i="2"/>
  <c r="W26" i="2" s="1"/>
  <c r="V37" i="2"/>
  <c r="W37" i="2" s="1"/>
  <c r="V41" i="2"/>
  <c r="W41" i="2" s="1"/>
  <c r="V9" i="2"/>
  <c r="W9" i="2" s="1"/>
  <c r="V5" i="2"/>
  <c r="W5" i="2" s="1"/>
  <c r="V73" i="2"/>
  <c r="W73" i="2" s="1"/>
  <c r="V57" i="2"/>
  <c r="W57" i="2" s="1"/>
  <c r="V25" i="2"/>
  <c r="W25" i="2" s="1"/>
  <c r="V20" i="2"/>
  <c r="W20" i="2" s="1"/>
  <c r="V18" i="2"/>
  <c r="W18" i="2" s="1"/>
  <c r="V59" i="2"/>
  <c r="W59" i="2" s="1"/>
  <c r="V43" i="2"/>
  <c r="W43" i="2" s="1"/>
  <c r="V52" i="2"/>
  <c r="W52" i="2" s="1"/>
  <c r="V50" i="2"/>
  <c r="W50" i="2" s="1"/>
  <c r="V68" i="2"/>
  <c r="W68" i="2" s="1"/>
  <c r="V11" i="2"/>
  <c r="W11" i="2" s="1"/>
  <c r="V27" i="2"/>
  <c r="W27" i="2" s="1"/>
  <c r="V66" i="2"/>
  <c r="W66" i="2" s="1"/>
  <c r="V64" i="2"/>
  <c r="W64" i="2" s="1"/>
  <c r="V71" i="2"/>
  <c r="W71" i="2" s="1"/>
  <c r="V16" i="2"/>
  <c r="W16" i="2" s="1"/>
  <c r="F1" i="2" l="1"/>
  <c r="D2" i="1" s="1"/>
</calcChain>
</file>

<file path=xl/sharedStrings.xml><?xml version="1.0" encoding="utf-8"?>
<sst xmlns="http://schemas.openxmlformats.org/spreadsheetml/2006/main" count="223" uniqueCount="102">
  <si>
    <t>开始时间</t>
  </si>
  <si>
    <t>结束时间</t>
  </si>
  <si>
    <t>人员</t>
  </si>
  <si>
    <t>工时</t>
  </si>
  <si>
    <r>
      <rPr>
        <sz val="12"/>
        <color rgb="FF0563C1"/>
        <rFont val="等线"/>
        <charset val="134"/>
      </rPr>
      <t xml:space="preserve"> @魏殷浩(80019157)</t>
    </r>
  </si>
  <si>
    <t>项目</t>
  </si>
  <si>
    <t>项目描述</t>
  </si>
  <si>
    <t>资源描述</t>
  </si>
  <si>
    <t>资源类型</t>
  </si>
  <si>
    <t>资源名称</t>
  </si>
  <si>
    <t>资源开始时间</t>
  </si>
  <si>
    <t>资源结束时间</t>
  </si>
  <si>
    <t>日平均工时投入
（h）</t>
  </si>
  <si>
    <t>巴西经营中心</t>
  </si>
  <si>
    <t>巴西NB-V3</t>
  </si>
  <si>
    <t>/</t>
  </si>
  <si>
    <t>TR4A-测试阶段</t>
  </si>
  <si>
    <t>项目经理</t>
  </si>
  <si>
    <r>
      <rPr>
        <sz val="12"/>
        <color rgb="FF0563C1"/>
        <rFont val="等线"/>
        <charset val="134"/>
      </rPr>
      <t xml:space="preserve"> @项家祺(80004213)(项家祺)</t>
    </r>
  </si>
  <si>
    <t>固件设计文档</t>
  </si>
  <si>
    <t>固件工程师</t>
  </si>
  <si>
    <r>
      <rPr>
        <sz val="12"/>
        <color rgb="FF0563C1"/>
        <rFont val="等线"/>
        <charset val="134"/>
      </rPr>
      <t xml:space="preserve"> @袁琮欣(80015786)(袁琮欣)</t>
    </r>
  </si>
  <si>
    <r>
      <rPr>
        <sz val="12"/>
        <color rgb="FF0563C1"/>
        <rFont val="等线"/>
        <charset val="134"/>
      </rPr>
      <t xml:space="preserve"> @李昊龙(80016809)</t>
    </r>
  </si>
  <si>
    <t>固件工程师-L660测试/BC680</t>
  </si>
  <si>
    <t>硬件工程师-PCB调整</t>
  </si>
  <si>
    <t>@童景顺(80004217)(童景顺)</t>
  </si>
  <si>
    <t>巴西NB-V3.1预研</t>
  </si>
  <si>
    <t>固件工程师-三轴传感器预研</t>
  </si>
  <si>
    <r>
      <rPr>
        <sz val="12"/>
        <color rgb="FF0563C1"/>
        <rFont val="等线"/>
        <charset val="134"/>
      </rPr>
      <t xml:space="preserve"> @张国庆(80019159)</t>
    </r>
  </si>
  <si>
    <t>巴西脉冲-V3</t>
  </si>
  <si>
    <t>硬件工程师</t>
  </si>
  <si>
    <t>SE设计</t>
  </si>
  <si>
    <t>固件工程师-开发</t>
  </si>
  <si>
    <r>
      <rPr>
        <sz val="12"/>
        <color rgb="FF0563C1"/>
        <rFont val="等线"/>
        <charset val="134"/>
      </rPr>
      <t xml:space="preserve"> @朱葵阳(80019092)(朱葵阳)</t>
    </r>
  </si>
  <si>
    <t>固件工程师-认证跟踪</t>
  </si>
  <si>
    <t>巴西WMBUS-walkby</t>
  </si>
  <si>
    <t>固件工程师-调试样机</t>
  </si>
  <si>
    <r>
      <rPr>
        <sz val="12"/>
        <color rgb="FF0563C1"/>
        <rFont val="等线"/>
        <charset val="134"/>
      </rPr>
      <t xml:space="preserve"> @毛文豪(80018842)</t>
    </r>
  </si>
  <si>
    <t>固件工程师-开发设计</t>
  </si>
  <si>
    <t>固件工程师-测试跟踪</t>
  </si>
  <si>
    <t>巴西LoRa-Walkby方案</t>
  </si>
  <si>
    <t>TAG26帧修改</t>
  </si>
  <si>
    <r>
      <rPr>
        <sz val="12"/>
        <color rgb="FF0563C1"/>
        <rFont val="等线"/>
        <charset val="134"/>
      </rPr>
      <t xml:space="preserve"> @答金雨(80016793)</t>
    </r>
  </si>
  <si>
    <t>拉美</t>
  </si>
  <si>
    <t>智利-NB</t>
  </si>
  <si>
    <t>特殊-联调阶段
7月2日-系统IP申请问题，未完成联调
7月8日-预约二次联调</t>
  </si>
  <si>
    <t>秘鲁-CAT1</t>
  </si>
  <si>
    <t>墨西哥MIAA</t>
  </si>
  <si>
    <r>
      <rPr>
        <sz val="12"/>
        <color rgb="FF0563C1"/>
        <rFont val="等线"/>
        <charset val="134"/>
      </rPr>
      <t xml:space="preserve"> @危才文(80018808)</t>
    </r>
  </si>
  <si>
    <t>固件工程师-测试</t>
  </si>
  <si>
    <t>多米尼加-补货</t>
  </si>
  <si>
    <t>补充验证</t>
  </si>
  <si>
    <r>
      <rPr>
        <sz val="12"/>
        <color rgb="FF0563C1"/>
        <rFont val="等线"/>
        <charset val="134"/>
      </rPr>
      <t xml:space="preserve"> @舒杰(80018942)</t>
    </r>
  </si>
  <si>
    <t>哥伦比亚相关</t>
  </si>
  <si>
    <t>哥伦比亚EVB项目复测</t>
  </si>
  <si>
    <t>DN40-LoRaWAN测试</t>
  </si>
  <si>
    <t>欧洲</t>
  </si>
  <si>
    <t>WMBUS-OMS</t>
  </si>
  <si>
    <t>TR4-设计开发阶段</t>
  </si>
  <si>
    <t>NB-CE</t>
  </si>
  <si>
    <t>样机制作阶段</t>
  </si>
  <si>
    <t>欧洲短款1代产品</t>
  </si>
  <si>
    <t>硬件设计-硬件设计文档</t>
  </si>
  <si>
    <t>硬件工程师-PCB设计</t>
  </si>
  <si>
    <t>固件概要设计</t>
  </si>
  <si>
    <t>固件开发-乌拉圭版本移植</t>
  </si>
  <si>
    <t>固件工程师-固件内测</t>
  </si>
  <si>
    <t>固件工程师-内容修复</t>
  </si>
  <si>
    <t>乌拉圭投标样机</t>
  </si>
  <si>
    <r>
      <rPr>
        <sz val="12"/>
        <color rgb="FF0563C1"/>
        <rFont val="等线"/>
        <charset val="134"/>
      </rPr>
      <t xml:space="preserve"> @童景顺(80004217)(童景顺)</t>
    </r>
  </si>
  <si>
    <t>亚洲</t>
  </si>
  <si>
    <t>巴勒斯坦-LoRa</t>
  </si>
  <si>
    <t>1day</t>
  </si>
  <si>
    <t>3days</t>
  </si>
  <si>
    <t>固件工程师-固件开发</t>
  </si>
  <si>
    <t>14days</t>
  </si>
  <si>
    <t>印尼 BLE表</t>
  </si>
  <si>
    <t>中东</t>
  </si>
  <si>
    <t>沙特-NB水表</t>
  </si>
  <si>
    <t>预研阶段</t>
  </si>
  <si>
    <t>固件工程师-压力传感器学习</t>
  </si>
  <si>
    <t>固件工程师-压力传感器驱动开发</t>
  </si>
  <si>
    <t>硬件工程师-压力功能性能测试</t>
  </si>
  <si>
    <r>
      <rPr>
        <sz val="12"/>
        <color rgb="FF0563C1"/>
        <rFont val="等线"/>
        <charset val="134"/>
      </rPr>
      <t xml:space="preserve"> @姚金星(80019160)</t>
    </r>
  </si>
  <si>
    <t>产品降本</t>
  </si>
  <si>
    <t>研究院LoRaWAN</t>
  </si>
  <si>
    <t>LoRaWAN通用产品+兼容lierda</t>
  </si>
  <si>
    <t>固件工程师-回归测试</t>
  </si>
  <si>
    <t>固件工程师-集成测试配合</t>
  </si>
  <si>
    <t>硬件工程师-lay out</t>
  </si>
  <si>
    <t>硬件工程师-天线破独测试（LoRa+LoRaWAN）</t>
  </si>
  <si>
    <t>产品竞争力提升</t>
  </si>
  <si>
    <t>DLMS -GCP</t>
  </si>
  <si>
    <t>GCP-BETA测试跟踪</t>
  </si>
  <si>
    <t>DLMS-BETA版本功能调整</t>
  </si>
  <si>
    <t>人员梯队建设</t>
  </si>
  <si>
    <t>应届生实习</t>
  </si>
  <si>
    <t>日常工作</t>
  </si>
  <si>
    <t>硬件工程师-Bom、产品ID维护</t>
  </si>
  <si>
    <t>硬件工程师-Bom、产品ID规则学习</t>
  </si>
  <si>
    <t>HFP-代码架构学习</t>
  </si>
  <si>
    <t>升级工具制作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</si>
</sst>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_ "/>
  </numFmts>
  <fonts count="11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等线"/>
      <charset val="134"/>
    </font>
    <font>
      <sz val="7"/>
      <color rgb="FF0F1115"/>
      <name val="Consolas"/>
    </font>
    <font>
      <sz val="12"/>
      <color rgb="FF000000"/>
      <name val="等线"/>
      <charset val="134"/>
    </font>
    <font>
      <sz val="11"/>
      <color rgb="FFFE0300"/>
      <name val="等线"/>
      <charset val="134"/>
    </font>
    <font>
      <sz val="6"/>
      <color rgb="FF0F1115"/>
      <name val="Consolas"/>
    </font>
    <font>
      <sz val="10"/>
      <name val="等线"/>
      <charset val="134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12"/>
      <color rgb="FF0563C1"/>
      <name val="等线"/>
      <charset val="134"/>
    </font>
  </fonts>
  <fills count="3">
    <fill>
      <patternFill patternType="none"/>
    </fill>
    <fill>
      <patternFill patternType="gray125"/>
    </fill>
    <fill>
      <patternFill patternType="solid">
        <fgColor rgb="FFFCC102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/>
    <xf numFmtId="14" fontId="2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>
      <alignment vertical="center"/>
    </xf>
    <xf numFmtId="176" fontId="2" fillId="0" borderId="0" xfId="0" applyNumberFormat="1" applyFont="1" applyAlignment="1"/>
    <xf numFmtId="176" fontId="3" fillId="0" borderId="0" xfId="0" applyNumberFormat="1" applyFont="1">
      <alignment vertical="center"/>
    </xf>
    <xf numFmtId="177" fontId="2" fillId="0" borderId="0" xfId="0" applyNumberFormat="1" applyFont="1" applyAlignment="1"/>
    <xf numFmtId="177" fontId="3" fillId="0" borderId="0" xfId="0" applyNumberFormat="1" applyFont="1">
      <alignment vertical="center"/>
    </xf>
    <xf numFmtId="0" fontId="2" fillId="0" borderId="0" xfId="0" applyFont="1" applyAlignment="1"/>
    <xf numFmtId="176" fontId="2" fillId="0" borderId="0" xfId="0" applyNumberFormat="1" applyFont="1" applyAlignment="1"/>
    <xf numFmtId="14" fontId="2" fillId="0" borderId="0" xfId="0" applyNumberFormat="1" applyFont="1" applyAlignment="1"/>
    <xf numFmtId="177" fontId="2" fillId="0" borderId="0" xfId="0" applyNumberFormat="1" applyFont="1" applyAlignment="1"/>
    <xf numFmtId="0" fontId="4" fillId="0" borderId="1" xfId="0" applyFont="1" applyBorder="1" applyProtection="1">
      <alignment vertical="center"/>
    </xf>
    <xf numFmtId="0" fontId="2" fillId="0" borderId="2" xfId="0" applyFont="1" applyBorder="1" applyAlignment="1" applyProtection="1"/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>
      <alignment wrapText="1"/>
    </xf>
    <xf numFmtId="0" fontId="2" fillId="0" borderId="3" xfId="0" applyFont="1" applyBorder="1" applyAlignment="1" applyProtection="1">
      <alignment horizontal="center" vertical="center"/>
    </xf>
    <xf numFmtId="14" fontId="2" fillId="0" borderId="1" xfId="0" applyNumberFormat="1" applyFont="1" applyBorder="1" applyAlignment="1" applyProtection="1"/>
    <xf numFmtId="14" fontId="2" fillId="0" borderId="1" xfId="0" applyNumberFormat="1" applyFont="1" applyBorder="1" applyAlignment="1" applyProtection="1">
      <alignment horizontal="center"/>
    </xf>
    <xf numFmtId="0" fontId="2" fillId="2" borderId="1" xfId="0" applyFont="1" applyFill="1" applyBorder="1" applyAlignment="1" applyProtection="1"/>
    <xf numFmtId="14" fontId="2" fillId="0" borderId="1" xfId="0" applyNumberFormat="1" applyFont="1" applyBorder="1" applyAlignment="1" applyProtection="1">
      <alignment horizontal="center" wrapText="1"/>
    </xf>
    <xf numFmtId="0" fontId="2" fillId="0" borderId="1" xfId="0" applyFont="1" applyBorder="1" applyAlignment="1" applyProtection="1">
      <alignment horizontal="center" wrapText="1"/>
    </xf>
    <xf numFmtId="14" fontId="2" fillId="0" borderId="1" xfId="0" applyNumberFormat="1" applyFont="1" applyBorder="1" applyAlignment="1" applyProtection="1">
      <alignment wrapText="1"/>
    </xf>
    <xf numFmtId="14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14" fontId="2" fillId="0" borderId="4" xfId="0" applyNumberFormat="1" applyFont="1" applyBorder="1" applyAlignment="1" applyProtection="1"/>
    <xf numFmtId="0" fontId="2" fillId="0" borderId="4" xfId="0" applyFont="1" applyBorder="1" applyAlignment="1" applyProtection="1">
      <alignment wrapText="1"/>
    </xf>
    <xf numFmtId="14" fontId="2" fillId="0" borderId="2" xfId="0" applyNumberFormat="1" applyFont="1" applyBorder="1" applyAlignment="1" applyProtection="1"/>
    <xf numFmtId="0" fontId="4" fillId="2" borderId="0" xfId="0" applyFont="1" applyFill="1">
      <alignment vertical="center"/>
    </xf>
    <xf numFmtId="0" fontId="2" fillId="0" borderId="3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14" fontId="2" fillId="0" borderId="5" xfId="0" applyNumberFormat="1" applyFont="1" applyBorder="1" applyAlignment="1" applyProtection="1"/>
    <xf numFmtId="0" fontId="5" fillId="2" borderId="1" xfId="0" applyFont="1" applyFill="1" applyBorder="1" applyAlignment="1" applyProtection="1"/>
    <xf numFmtId="0" fontId="6" fillId="0" borderId="1" xfId="0" applyFont="1" applyBorder="1" applyAlignment="1" applyProtection="1">
      <alignment vertical="center" wrapText="1"/>
    </xf>
    <xf numFmtId="0" fontId="3" fillId="0" borderId="1" xfId="0" applyFont="1" applyBorder="1" applyProtection="1">
      <alignment vertical="center"/>
    </xf>
    <xf numFmtId="14" fontId="2" fillId="0" borderId="6" xfId="0" applyNumberFormat="1" applyFont="1" applyBorder="1" applyAlignment="1" applyProtection="1"/>
    <xf numFmtId="0" fontId="2" fillId="0" borderId="7" xfId="0" applyFont="1" applyBorder="1" applyAlignment="1" applyProtection="1">
      <alignment horizontal="center"/>
    </xf>
    <xf numFmtId="0" fontId="2" fillId="0" borderId="2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/>
    </xf>
    <xf numFmtId="0" fontId="2" fillId="0" borderId="4" xfId="0" applyFont="1" applyBorder="1" applyAlignment="1" applyProtection="1"/>
    <xf numFmtId="0" fontId="2" fillId="0" borderId="5" xfId="0" applyFont="1" applyBorder="1" applyAlignment="1" applyProtection="1"/>
    <xf numFmtId="0" fontId="2" fillId="0" borderId="4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/>
    </xf>
    <xf numFmtId="0" fontId="4" fillId="0" borderId="0" xfId="0" applyFont="1">
      <alignment vertical="center"/>
    </xf>
    <xf numFmtId="0" fontId="2" fillId="0" borderId="7" xfId="0" applyFont="1" applyBorder="1" applyAlignment="1" applyProtection="1"/>
    <xf numFmtId="0" fontId="8" fillId="0" borderId="1" xfId="0" applyFont="1" applyBorder="1" applyAlignment="1" applyProtection="1">
      <alignment wrapText="1"/>
    </xf>
    <xf numFmtId="0" fontId="9" fillId="0" borderId="1" xfId="0" applyFont="1" applyBorder="1" applyAlignment="1" applyProtection="1">
      <alignment horizontal="center" wrapText="1"/>
    </xf>
    <xf numFmtId="0" fontId="2" fillId="0" borderId="4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/>
    </xf>
    <xf numFmtId="0" fontId="2" fillId="0" borderId="5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 wrapText="1"/>
    </xf>
    <xf numFmtId="0" fontId="2" fillId="0" borderId="8" xfId="0" applyFont="1" applyBorder="1" applyAlignment="1" applyProtection="1">
      <alignment horizontal="center" wrapText="1"/>
    </xf>
    <xf numFmtId="0" fontId="2" fillId="0" borderId="5" xfId="0" applyFont="1" applyBorder="1" applyAlignment="1" applyProtection="1">
      <alignment horizontal="center" wrapText="1"/>
    </xf>
    <xf numFmtId="0" fontId="2" fillId="0" borderId="7" xfId="0" applyFont="1" applyBorder="1" applyAlignment="1" applyProtection="1">
      <alignment horizontal="center"/>
    </xf>
    <xf numFmtId="0" fontId="2" fillId="0" borderId="9" xfId="0" applyFont="1" applyBorder="1" applyAlignment="1" applyProtection="1">
      <alignment horizontal="center"/>
    </xf>
    <xf numFmtId="0" fontId="2" fillId="0" borderId="2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8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/>
    <xf numFmtId="0" fontId="2" fillId="0" borderId="8" xfId="0" applyFont="1" applyBorder="1" applyAlignment="1" applyProtection="1"/>
    <xf numFmtId="0" fontId="2" fillId="0" borderId="5" xfId="0" applyFont="1" applyBorder="1" applyAlignment="1" applyProtection="1"/>
    <xf numFmtId="14" fontId="2" fillId="0" borderId="4" xfId="0" applyNumberFormat="1" applyFont="1" applyBorder="1" applyAlignment="1" applyProtection="1">
      <alignment horizontal="center" vertical="center"/>
    </xf>
    <xf numFmtId="14" fontId="2" fillId="0" borderId="8" xfId="0" applyNumberFormat="1" applyFont="1" applyBorder="1" applyAlignment="1" applyProtection="1">
      <alignment horizontal="center" vertical="center"/>
    </xf>
    <xf numFmtId="14" fontId="2" fillId="0" borderId="5" xfId="0" applyNumberFormat="1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vertical="center" wrapText="1"/>
    </xf>
    <xf numFmtId="0" fontId="4" fillId="0" borderId="8" xfId="0" applyFont="1" applyBorder="1" applyAlignment="1" applyProtection="1">
      <alignment vertical="center" wrapText="1"/>
    </xf>
    <xf numFmtId="0" fontId="4" fillId="0" borderId="5" xfId="0" applyFont="1" applyBorder="1" applyAlignment="1" applyProtection="1">
      <alignment vertical="center" wrapText="1"/>
    </xf>
    <xf numFmtId="0" fontId="2" fillId="0" borderId="10" xfId="0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horizontal="center" vertical="center"/>
    </xf>
    <xf numFmtId="0" fontId="4" fillId="0" borderId="8" xfId="0" applyFont="1" applyBorder="1" applyAlignment="1" applyProtection="1">
      <alignment horizontal="center" vertical="center"/>
    </xf>
    <xf numFmtId="0" fontId="7" fillId="0" borderId="8" xfId="0" applyFont="1" applyBorder="1" applyProtection="1">
      <alignment vertical="center"/>
    </xf>
    <xf numFmtId="0" fontId="2" fillId="0" borderId="1" xfId="0" applyFont="1" applyBorder="1" applyAlignment="1" applyProtection="1">
      <alignment horizontal="center" vertical="center"/>
    </xf>
    <xf numFmtId="0" fontId="7" fillId="0" borderId="1" xfId="0" applyFont="1" applyBorder="1" applyProtection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26B1-6635-4C72-B754-B6B52C4DAAC5}">
  <sheetPr>
    <outlinePr summaryBelow="0" summaryRight="0"/>
  </sheetPr>
  <dimension ref="A1:O4"/>
  <sheetViews>
    <sheetView workbookViewId="0"/>
  </sheetViews>
  <sheetFormatPr defaultColWidth="8.84375" defaultRowHeight="14" customHeight="1" x14ac:dyDescent="0.3"/>
  <cols>
    <col min="1" max="1" width="16.84375" style="1" customWidth="1"/>
    <col min="2" max="2" width="19.69140625" style="1" customWidth="1"/>
    <col min="3" max="3" width="23.3046875" style="47" customWidth="1"/>
    <col min="4" max="4" width="10.3046875" style="1" customWidth="1"/>
  </cols>
  <sheetData>
    <row r="1" spans="1:15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15" ht="14.25" customHeight="1" x14ac:dyDescent="0.35">
      <c r="A2" s="2">
        <v>46220</v>
      </c>
      <c r="B2" s="2">
        <v>46234</v>
      </c>
      <c r="C2" s="1" t="s">
        <v>4</v>
      </c>
      <c r="D2" s="1">
        <f>任务计划表!F1</f>
        <v>8</v>
      </c>
    </row>
    <row r="4" spans="1:15" ht="14" customHeight="1" x14ac:dyDescent="0.3">
      <c r="O4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D96A-EA7E-4249-8DE8-E51236C1D54C}">
  <sheetPr>
    <outlinePr summaryBelow="0" summaryRight="0"/>
  </sheetPr>
  <dimension ref="D1:W75"/>
  <sheetViews>
    <sheetView tabSelected="1" topLeftCell="G63" zoomScale="74" zoomScaleNormal="55" workbookViewId="0">
      <selection activeCell="S70" sqref="S70"/>
    </sheetView>
  </sheetViews>
  <sheetFormatPr defaultColWidth="8.84375" defaultRowHeight="14" customHeight="1" x14ac:dyDescent="0.3"/>
  <cols>
    <col min="5" max="5" width="12.84375" style="47" customWidth="1"/>
    <col min="6" max="6" width="29.15234375" style="1" customWidth="1"/>
    <col min="7" max="7" width="21.3046875" style="1" customWidth="1"/>
    <col min="8" max="8" width="10.4609375" style="1" customWidth="1"/>
    <col min="9" max="9" width="22.3828125" style="1" customWidth="1"/>
    <col min="10" max="10" width="39.3046875" style="1" customWidth="1"/>
    <col min="11" max="11" width="29" style="1" customWidth="1"/>
    <col min="12" max="13" width="17.69140625" style="1" customWidth="1"/>
    <col min="14" max="14" width="11.4609375" style="1" customWidth="1"/>
    <col min="15" max="15" width="21.69140625" style="1" customWidth="1"/>
    <col min="16" max="16" width="9.69140625" style="1" customWidth="1"/>
    <col min="17" max="17" width="10.84375" style="1" customWidth="1"/>
    <col min="19" max="19" width="25.69140625" style="5" customWidth="1"/>
    <col min="20" max="21" width="9.69140625" style="11" customWidth="1"/>
    <col min="22" max="22" width="9.69140625" style="7" customWidth="1"/>
  </cols>
  <sheetData>
    <row r="1" spans="5:23" ht="14" customHeight="1" x14ac:dyDescent="0.3">
      <c r="F1" s="4">
        <f>SUM(W4:W75)/(人员资源情况!B2-人员资源情况!A2)</f>
        <v>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S1" s="10"/>
      <c r="V1" s="12"/>
    </row>
    <row r="2" spans="5:23" ht="14.25" customHeight="1" x14ac:dyDescent="0.3">
      <c r="E2" s="13"/>
      <c r="F2" s="14" t="s">
        <v>5</v>
      </c>
      <c r="G2" s="15" t="s">
        <v>0</v>
      </c>
      <c r="H2" s="16" t="s">
        <v>1</v>
      </c>
      <c r="I2" s="16" t="s">
        <v>6</v>
      </c>
      <c r="J2" s="60" t="s">
        <v>7</v>
      </c>
      <c r="K2" s="61"/>
      <c r="L2" s="61"/>
      <c r="M2" s="61"/>
      <c r="N2" s="62"/>
      <c r="O2" s="11"/>
      <c r="P2" s="9"/>
      <c r="Q2" s="9"/>
      <c r="S2" s="10"/>
      <c r="V2" s="12"/>
    </row>
    <row r="3" spans="5:23" ht="41.25" customHeight="1" x14ac:dyDescent="0.3">
      <c r="E3" s="13"/>
      <c r="F3" s="14"/>
      <c r="G3" s="15"/>
      <c r="H3" s="15"/>
      <c r="I3" s="15"/>
      <c r="J3" s="15" t="s">
        <v>8</v>
      </c>
      <c r="K3" s="15" t="s">
        <v>9</v>
      </c>
      <c r="L3" s="15" t="s">
        <v>10</v>
      </c>
      <c r="M3" s="15" t="s">
        <v>11</v>
      </c>
      <c r="N3" s="49" t="s">
        <v>12</v>
      </c>
      <c r="O3" s="9"/>
      <c r="P3" s="9"/>
      <c r="Q3" s="9"/>
      <c r="S3" s="10"/>
      <c r="V3" s="12"/>
    </row>
    <row r="4" spans="5:23" ht="14.25" customHeight="1" x14ac:dyDescent="0.35">
      <c r="E4" s="63" t="s">
        <v>13</v>
      </c>
      <c r="F4" s="51" t="s">
        <v>14</v>
      </c>
      <c r="G4" s="51" t="s">
        <v>15</v>
      </c>
      <c r="H4" s="69">
        <v>46318</v>
      </c>
      <c r="I4" s="69" t="s">
        <v>16</v>
      </c>
      <c r="J4" s="19" t="s">
        <v>17</v>
      </c>
      <c r="K4" s="17" t="s">
        <v>18</v>
      </c>
      <c r="L4" s="17" t="s">
        <v>15</v>
      </c>
      <c r="M4" s="20">
        <v>46318</v>
      </c>
      <c r="N4" s="16">
        <v>1</v>
      </c>
      <c r="O4" s="3" t="str">
        <f>任务计划表!K4</f>
        <v xml:space="preserve"> @项家祺(80004213)(项家祺)</v>
      </c>
      <c r="P4" s="11">
        <f>IF(IF(任务计划表!L4="/",人员资源情况!$A$2,L4)&gt;M4,M4,(IF(任务计划表!L4="/",人员资源情况!$A$2,L4)))</f>
        <v>46220</v>
      </c>
      <c r="Q4" s="11">
        <f>IF(M4="/",人员资源情况!$B$2,任务计划表!M4)</f>
        <v>46318</v>
      </c>
      <c r="R4" s="9">
        <f>任务计划表!N4</f>
        <v>1</v>
      </c>
      <c r="S4" s="6">
        <f>IF(O4=人员资源情况!C$2,1,0)</f>
        <v>0</v>
      </c>
      <c r="T4" s="6">
        <f>IF(P4&gt;=人员资源情况!A$2,1,0)</f>
        <v>1</v>
      </c>
      <c r="U4" s="6">
        <f>IF(Q4&lt;=人员资源情况!B$2,1,0)</f>
        <v>0</v>
      </c>
      <c r="V4" s="8">
        <f>IF(T4*U4,Q4-P4,IF(T4&gt;U4,人员资源情况!B$2-P4,IF(T4&lt;U4,任务计划表!Q4-人员资源情况!A$2,0)))*R4*S4</f>
        <v>0</v>
      </c>
      <c r="W4" s="9">
        <f t="shared" ref="W4:W35" si="0">IF(V4&lt;0,0,V4)</f>
        <v>0</v>
      </c>
    </row>
    <row r="5" spans="5:23" ht="14.25" customHeight="1" x14ac:dyDescent="0.35">
      <c r="E5" s="64"/>
      <c r="F5" s="52"/>
      <c r="G5" s="52"/>
      <c r="H5" s="70"/>
      <c r="I5" s="70"/>
      <c r="J5" s="15" t="s">
        <v>19</v>
      </c>
      <c r="K5" s="17" t="s">
        <v>18</v>
      </c>
      <c r="L5" s="17" t="s">
        <v>15</v>
      </c>
      <c r="M5" s="20">
        <v>46233</v>
      </c>
      <c r="N5" s="16">
        <v>4</v>
      </c>
      <c r="O5" s="3" t="str">
        <f>任务计划表!K5</f>
        <v xml:space="preserve"> @项家祺(80004213)(项家祺)</v>
      </c>
      <c r="P5" s="11">
        <f>IF(IF(任务计划表!L5="/",人员资源情况!$A$2,L5)&gt;M5,M5,(IF(任务计划表!L5="/",人员资源情况!$A$2,L5)))</f>
        <v>46220</v>
      </c>
      <c r="Q5" s="11">
        <f>IF(M5="/",人员资源情况!$B$2,任务计划表!M5)</f>
        <v>46233</v>
      </c>
      <c r="R5" s="9">
        <f>任务计划表!N5</f>
        <v>4</v>
      </c>
      <c r="S5" s="6">
        <f>IF(O5=人员资源情况!C$2,1,0)</f>
        <v>0</v>
      </c>
      <c r="T5" s="6">
        <f>IF(P5&gt;=人员资源情况!A$2,1,0)</f>
        <v>1</v>
      </c>
      <c r="U5" s="6">
        <f>IF(Q5&lt;=人员资源情况!B$2,1,0)</f>
        <v>1</v>
      </c>
      <c r="V5" s="8">
        <f>IF(T5*U5,Q5-P5,IF(T5&gt;U5,人员资源情况!B$2-P5,IF(T5&lt;U5,任务计划表!Q5-人员资源情况!A$2,0)))*R5*S5</f>
        <v>0</v>
      </c>
      <c r="W5" s="9">
        <f t="shared" si="0"/>
        <v>0</v>
      </c>
    </row>
    <row r="6" spans="5:23" ht="14.25" customHeight="1" x14ac:dyDescent="0.35">
      <c r="E6" s="64"/>
      <c r="F6" s="52"/>
      <c r="G6" s="52"/>
      <c r="H6" s="70"/>
      <c r="I6" s="70"/>
      <c r="J6" s="19" t="s">
        <v>20</v>
      </c>
      <c r="K6" s="17" t="s">
        <v>21</v>
      </c>
      <c r="L6" s="17" t="s">
        <v>15</v>
      </c>
      <c r="M6" s="20">
        <v>46288</v>
      </c>
      <c r="N6" s="16">
        <v>8</v>
      </c>
      <c r="O6" s="3" t="str">
        <f>任务计划表!K6</f>
        <v xml:space="preserve"> @袁琮欣(80015786)(袁琮欣)</v>
      </c>
      <c r="P6" s="11">
        <f>IF(IF(任务计划表!L6="/",人员资源情况!$A$2,L6)&gt;M6,M6,(IF(任务计划表!L6="/",人员资源情况!$A$2,L6)))</f>
        <v>46220</v>
      </c>
      <c r="Q6" s="11">
        <f>IF(M6="/",人员资源情况!$B$2,任务计划表!M6)</f>
        <v>46288</v>
      </c>
      <c r="R6" s="9">
        <f>任务计划表!N6</f>
        <v>8</v>
      </c>
      <c r="S6" s="6">
        <f>IF(O6=人员资源情况!C$2,1,0)</f>
        <v>0</v>
      </c>
      <c r="T6" s="6">
        <f>IF(P6&gt;=人员资源情况!A$2,1,0)</f>
        <v>1</v>
      </c>
      <c r="U6" s="6">
        <f>IF(Q6&lt;=人员资源情况!B$2,1,0)</f>
        <v>0</v>
      </c>
      <c r="V6" s="8">
        <f>IF(T6*U6,Q6-P6,IF(T6&gt;U6,人员资源情况!B$2-P6,IF(T6&lt;U6,任务计划表!Q6-人员资源情况!A$2,0)))*R6*S6</f>
        <v>0</v>
      </c>
      <c r="W6" s="9">
        <f t="shared" si="0"/>
        <v>0</v>
      </c>
    </row>
    <row r="7" spans="5:23" ht="14.25" customHeight="1" x14ac:dyDescent="0.35">
      <c r="E7" s="64"/>
      <c r="F7" s="52"/>
      <c r="G7" s="52"/>
      <c r="H7" s="70"/>
      <c r="I7" s="70"/>
      <c r="J7" s="19" t="s">
        <v>20</v>
      </c>
      <c r="K7" s="17" t="s">
        <v>22</v>
      </c>
      <c r="L7" s="17" t="s">
        <v>15</v>
      </c>
      <c r="M7" s="20">
        <v>46288</v>
      </c>
      <c r="N7" s="16">
        <v>8</v>
      </c>
      <c r="O7" s="3" t="str">
        <f>任务计划表!K7</f>
        <v xml:space="preserve"> @李昊龙(80016809)</v>
      </c>
      <c r="P7" s="11">
        <f>IF(IF(任务计划表!L7="/",人员资源情况!$A$2,L7)&gt;M7,M7,(IF(任务计划表!L7="/",人员资源情况!$A$2,L7)))</f>
        <v>46220</v>
      </c>
      <c r="Q7" s="11">
        <f>IF(M7="/",人员资源情况!$B$2,任务计划表!M7)</f>
        <v>46288</v>
      </c>
      <c r="R7" s="9">
        <f>任务计划表!N7</f>
        <v>8</v>
      </c>
      <c r="S7" s="6">
        <f>IF(O7=人员资源情况!C$2,1,0)</f>
        <v>0</v>
      </c>
      <c r="T7" s="6">
        <f>IF(P7&gt;=人员资源情况!A$2,1,0)</f>
        <v>1</v>
      </c>
      <c r="U7" s="6">
        <f>IF(Q7&lt;=人员资源情况!B$2,1,0)</f>
        <v>0</v>
      </c>
      <c r="V7" s="8">
        <f>IF(T7*U7,Q7-P7,IF(T7&gt;U7,人员资源情况!B$2-P7,IF(T7&lt;U7,任务计划表!Q7-人员资源情况!A$2,0)))*R7*S7</f>
        <v>0</v>
      </c>
      <c r="W7" s="9">
        <f t="shared" si="0"/>
        <v>0</v>
      </c>
    </row>
    <row r="8" spans="5:23" ht="14.25" customHeight="1" x14ac:dyDescent="0.35">
      <c r="E8" s="64"/>
      <c r="F8" s="52"/>
      <c r="G8" s="52"/>
      <c r="H8" s="70"/>
      <c r="I8" s="70"/>
      <c r="J8" s="21" t="s">
        <v>23</v>
      </c>
      <c r="K8" s="17" t="s">
        <v>21</v>
      </c>
      <c r="L8" s="22">
        <v>46218</v>
      </c>
      <c r="M8" s="20">
        <v>46221</v>
      </c>
      <c r="N8" s="16">
        <v>0.5</v>
      </c>
      <c r="O8" s="3" t="str">
        <f>任务计划表!K8</f>
        <v xml:space="preserve"> @袁琮欣(80015786)(袁琮欣)</v>
      </c>
      <c r="P8" s="11">
        <f>IF(IF(任务计划表!L8="/",人员资源情况!$A$2,L8)&gt;M8,M8,(IF(任务计划表!L8="/",人员资源情况!$A$2,L8)))</f>
        <v>46218</v>
      </c>
      <c r="Q8" s="11">
        <f>IF(M8="/",人员资源情况!$B$2,任务计划表!M8)</f>
        <v>46221</v>
      </c>
      <c r="R8" s="9">
        <f>任务计划表!N8</f>
        <v>0.5</v>
      </c>
      <c r="S8" s="6">
        <f>IF(O8=人员资源情况!C$2,1,0)</f>
        <v>0</v>
      </c>
      <c r="T8" s="6">
        <f>IF(P8&gt;=人员资源情况!A$2,1,0)</f>
        <v>0</v>
      </c>
      <c r="U8" s="6">
        <f>IF(Q8&lt;=人员资源情况!B$2,1,0)</f>
        <v>1</v>
      </c>
      <c r="V8" s="8">
        <f>IF(T8*U8,Q8-P8,IF(T8&gt;U8,人员资源情况!B$2-P8,IF(T8&lt;U8,任务计划表!Q8-人员资源情况!A$2,0)))*R8*S8</f>
        <v>0</v>
      </c>
      <c r="W8" s="9">
        <f t="shared" si="0"/>
        <v>0</v>
      </c>
    </row>
    <row r="9" spans="5:23" ht="14.25" customHeight="1" x14ac:dyDescent="0.3">
      <c r="E9" s="64"/>
      <c r="F9" s="53"/>
      <c r="G9" s="53"/>
      <c r="H9" s="71"/>
      <c r="I9" s="71"/>
      <c r="J9" s="21" t="s">
        <v>24</v>
      </c>
      <c r="K9" s="17" t="s">
        <v>25</v>
      </c>
      <c r="L9" s="23" t="s">
        <v>15</v>
      </c>
      <c r="M9" s="16" t="s">
        <v>15</v>
      </c>
      <c r="N9" s="16">
        <v>1</v>
      </c>
      <c r="O9" s="3" t="str">
        <f>任务计划表!K9</f>
        <v>@童景顺(80004217)(童景顺)</v>
      </c>
      <c r="P9" s="11">
        <f>IF(IF(任务计划表!L9="/",人员资源情况!$A$2,L9)&gt;M9,M9,(IF(任务计划表!L9="/",人员资源情况!$A$2,L9)))</f>
        <v>46220</v>
      </c>
      <c r="Q9" s="11">
        <f>IF(M9="/",人员资源情况!$B$2,任务计划表!M9)</f>
        <v>46234</v>
      </c>
      <c r="R9" s="9">
        <f>任务计划表!N9</f>
        <v>1</v>
      </c>
      <c r="S9" s="6">
        <f>IF(O9=人员资源情况!C$2,1,0)</f>
        <v>0</v>
      </c>
      <c r="T9" s="6">
        <f>IF(P9&gt;=人员资源情况!A$2,1,0)</f>
        <v>1</v>
      </c>
      <c r="U9" s="6">
        <f>IF(Q9&lt;=人员资源情况!B$2,1,0)</f>
        <v>1</v>
      </c>
      <c r="V9" s="8">
        <f>IF(T9*U9,Q9-P9,IF(T9&gt;U9,人员资源情况!B$2-P9,IF(T9&lt;U9,任务计划表!Q9-人员资源情况!A$2,0)))*R9*S9</f>
        <v>0</v>
      </c>
      <c r="W9" s="9">
        <f t="shared" si="0"/>
        <v>0</v>
      </c>
    </row>
    <row r="10" spans="5:23" ht="14.25" customHeight="1" x14ac:dyDescent="0.35">
      <c r="E10" s="64"/>
      <c r="F10" s="18" t="s">
        <v>26</v>
      </c>
      <c r="G10" s="15"/>
      <c r="H10" s="15"/>
      <c r="I10" s="15"/>
      <c r="J10" s="15" t="s">
        <v>27</v>
      </c>
      <c r="K10" s="17" t="s">
        <v>28</v>
      </c>
      <c r="L10" s="20">
        <v>46223</v>
      </c>
      <c r="M10" s="20">
        <v>46237</v>
      </c>
      <c r="N10" s="16">
        <v>4</v>
      </c>
      <c r="O10" s="3" t="str">
        <f>任务计划表!K10</f>
        <v xml:space="preserve"> @张国庆(80019159)</v>
      </c>
      <c r="P10" s="11">
        <f>IF(IF(任务计划表!L10="/",人员资源情况!$A$2,L10)&gt;M10,M10,(IF(任务计划表!L10="/",人员资源情况!$A$2,L10)))</f>
        <v>46223</v>
      </c>
      <c r="Q10" s="11">
        <f>IF(M10="/",人员资源情况!$B$2,任务计划表!M10)</f>
        <v>46237</v>
      </c>
      <c r="R10" s="9">
        <f>任务计划表!N10</f>
        <v>4</v>
      </c>
      <c r="S10" s="6">
        <f>IF(O10=人员资源情况!C$2,1,0)</f>
        <v>0</v>
      </c>
      <c r="T10" s="6">
        <f>IF(P10&gt;=人员资源情况!A$2,1,0)</f>
        <v>1</v>
      </c>
      <c r="U10" s="6">
        <f>IF(Q10&lt;=人员资源情况!B$2,1,0)</f>
        <v>0</v>
      </c>
      <c r="V10" s="8">
        <f>IF(T10*U10,Q10-P10,IF(T10&gt;U10,人员资源情况!B$2-P10,IF(T10&lt;U10,任务计划表!Q10-人员资源情况!A$2,0)))*R10*S10</f>
        <v>0</v>
      </c>
      <c r="W10" s="9">
        <f t="shared" si="0"/>
        <v>0</v>
      </c>
    </row>
    <row r="11" spans="5:23" ht="14.25" customHeight="1" x14ac:dyDescent="0.35">
      <c r="E11" s="64"/>
      <c r="F11" s="51" t="s">
        <v>29</v>
      </c>
      <c r="G11" s="15"/>
      <c r="H11" s="15"/>
      <c r="I11" s="15"/>
      <c r="J11" s="19" t="s">
        <v>17</v>
      </c>
      <c r="K11" s="17" t="s">
        <v>18</v>
      </c>
      <c r="L11" s="17" t="s">
        <v>15</v>
      </c>
      <c r="M11" s="20">
        <v>46318</v>
      </c>
      <c r="N11" s="16">
        <v>1</v>
      </c>
      <c r="O11" s="3" t="str">
        <f>任务计划表!K11</f>
        <v xml:space="preserve"> @项家祺(80004213)(项家祺)</v>
      </c>
      <c r="P11" s="11">
        <f>IF(IF(任务计划表!L11="/",人员资源情况!$A$2,L11)&gt;M11,M11,(IF(任务计划表!L11="/",人员资源情况!$A$2,L11)))</f>
        <v>46220</v>
      </c>
      <c r="Q11" s="11">
        <f>IF(M11="/",人员资源情况!$B$2,任务计划表!M11)</f>
        <v>46318</v>
      </c>
      <c r="R11" s="9">
        <f>任务计划表!N11</f>
        <v>1</v>
      </c>
      <c r="S11" s="6">
        <f>IF(O11=人员资源情况!C$2,1,0)</f>
        <v>0</v>
      </c>
      <c r="T11" s="6">
        <f>IF(P11&gt;=人员资源情况!A$2,1,0)</f>
        <v>1</v>
      </c>
      <c r="U11" s="6">
        <f>IF(Q11&lt;=人员资源情况!B$2,1,0)</f>
        <v>0</v>
      </c>
      <c r="V11" s="8">
        <f>IF(T11*U11,Q11-P11,IF(T11&gt;U11,人员资源情况!B$2-P11,IF(T11&lt;U11,任务计划表!Q11-人员资源情况!A$2,0)))*R11*S11</f>
        <v>0</v>
      </c>
      <c r="W11" s="9">
        <f t="shared" si="0"/>
        <v>0</v>
      </c>
    </row>
    <row r="12" spans="5:23" ht="14.25" customHeight="1" x14ac:dyDescent="0.3">
      <c r="E12" s="64"/>
      <c r="F12" s="52"/>
      <c r="G12" s="15"/>
      <c r="H12" s="15"/>
      <c r="I12" s="15"/>
      <c r="J12" s="15" t="s">
        <v>30</v>
      </c>
      <c r="K12" s="17" t="s">
        <v>25</v>
      </c>
      <c r="L12" s="24"/>
      <c r="M12" s="20"/>
      <c r="N12" s="16">
        <v>7</v>
      </c>
      <c r="O12" s="3" t="str">
        <f>任务计划表!K12</f>
        <v>@童景顺(80004217)(童景顺)</v>
      </c>
      <c r="P12" s="11">
        <f>IF(IF(任务计划表!L12="/",人员资源情况!$A$2,L12)&gt;M12,M12,(IF(任务计划表!L12="/",人员资源情况!$A$2,L12)))</f>
        <v>0</v>
      </c>
      <c r="Q12" s="11">
        <f>IF(M12="/",人员资源情况!$B$2,任务计划表!M12)</f>
        <v>0</v>
      </c>
      <c r="R12" s="9">
        <f>任务计划表!N12</f>
        <v>7</v>
      </c>
      <c r="S12" s="6">
        <f>IF(O12=人员资源情况!C$2,1,0)</f>
        <v>0</v>
      </c>
      <c r="T12" s="6">
        <f>IF(P12&gt;=人员资源情况!A$2,1,0)</f>
        <v>0</v>
      </c>
      <c r="U12" s="6">
        <f>IF(Q12&lt;=人员资源情况!B$2,1,0)</f>
        <v>1</v>
      </c>
      <c r="V12" s="8">
        <f>IF(T12*U12,Q12-P12,IF(T12&gt;U12,人员资源情况!B$2-P12,IF(T12&lt;U12,任务计划表!Q12-人员资源情况!A$2,0)))*R12*S12</f>
        <v>0</v>
      </c>
      <c r="W12" s="9">
        <f t="shared" si="0"/>
        <v>0</v>
      </c>
    </row>
    <row r="13" spans="5:23" ht="14.25" customHeight="1" x14ac:dyDescent="0.35">
      <c r="E13" s="64"/>
      <c r="F13" s="52"/>
      <c r="G13" s="15"/>
      <c r="H13" s="15"/>
      <c r="I13" s="15"/>
      <c r="J13" s="15" t="s">
        <v>31</v>
      </c>
      <c r="K13" s="17" t="s">
        <v>18</v>
      </c>
      <c r="L13" s="17" t="s">
        <v>15</v>
      </c>
      <c r="M13" s="20">
        <v>46233</v>
      </c>
      <c r="N13" s="16">
        <v>4</v>
      </c>
      <c r="O13" s="3" t="str">
        <f>任务计划表!K13</f>
        <v xml:space="preserve"> @项家祺(80004213)(项家祺)</v>
      </c>
      <c r="P13" s="11">
        <f>IF(IF(任务计划表!L13="/",人员资源情况!$A$2,L13)&gt;M13,M13,(IF(任务计划表!L13="/",人员资源情况!$A$2,L13)))</f>
        <v>46220</v>
      </c>
      <c r="Q13" s="11">
        <f>IF(M13="/",人员资源情况!$B$2,任务计划表!M13)</f>
        <v>46233</v>
      </c>
      <c r="R13" s="9">
        <f>任务计划表!N13</f>
        <v>4</v>
      </c>
      <c r="S13" s="6">
        <f>IF(O13=人员资源情况!C$2,1,0)</f>
        <v>0</v>
      </c>
      <c r="T13" s="6">
        <f>IF(P13&gt;=人员资源情况!A$2,1,0)</f>
        <v>1</v>
      </c>
      <c r="U13" s="6">
        <f>IF(Q13&lt;=人员资源情况!B$2,1,0)</f>
        <v>1</v>
      </c>
      <c r="V13" s="8">
        <f>IF(T13*U13,Q13-P13,IF(T13&gt;U13,人员资源情况!B$2-P13,IF(T13&lt;U13,任务计划表!Q13-人员资源情况!A$2,0)))*R13*S13</f>
        <v>0</v>
      </c>
      <c r="W13" s="9">
        <f t="shared" si="0"/>
        <v>0</v>
      </c>
    </row>
    <row r="14" spans="5:23" ht="14.25" customHeight="1" x14ac:dyDescent="0.35">
      <c r="E14" s="64"/>
      <c r="F14" s="52"/>
      <c r="G14" s="15"/>
      <c r="H14" s="15"/>
      <c r="I14" s="15"/>
      <c r="J14" s="19" t="s">
        <v>32</v>
      </c>
      <c r="K14" s="17" t="s">
        <v>33</v>
      </c>
      <c r="L14" s="17" t="s">
        <v>15</v>
      </c>
      <c r="M14" s="20">
        <v>46225</v>
      </c>
      <c r="N14" s="16">
        <v>8</v>
      </c>
      <c r="O14" s="3" t="str">
        <f>任务计划表!K14</f>
        <v xml:space="preserve"> @朱葵阳(80019092)(朱葵阳)</v>
      </c>
      <c r="P14" s="11">
        <f>IF(IF(任务计划表!L14="/",人员资源情况!$A$2,L14)&gt;M14,M14,(IF(任务计划表!L14="/",人员资源情况!$A$2,L14)))</f>
        <v>46220</v>
      </c>
      <c r="Q14" s="11">
        <f>IF(M14="/",人员资源情况!$B$2,任务计划表!M14)</f>
        <v>46225</v>
      </c>
      <c r="R14" s="9">
        <f>任务计划表!N14</f>
        <v>8</v>
      </c>
      <c r="S14" s="6">
        <f>IF(O14=人员资源情况!C$2,1,0)</f>
        <v>0</v>
      </c>
      <c r="T14" s="6">
        <f>IF(P14&gt;=人员资源情况!A$2,1,0)</f>
        <v>1</v>
      </c>
      <c r="U14" s="6">
        <f>IF(Q14&lt;=人员资源情况!B$2,1,0)</f>
        <v>1</v>
      </c>
      <c r="V14" s="8">
        <f>IF(T14*U14,Q14-P14,IF(T14&gt;U14,人员资源情况!B$2-P14,IF(T14&lt;U14,任务计划表!Q14-人员资源情况!A$2,0)))*R14*S14</f>
        <v>0</v>
      </c>
      <c r="W14" s="9">
        <f t="shared" si="0"/>
        <v>0</v>
      </c>
    </row>
    <row r="15" spans="5:23" ht="14.25" customHeight="1" x14ac:dyDescent="0.35">
      <c r="E15" s="64"/>
      <c r="F15" s="52"/>
      <c r="G15" s="15"/>
      <c r="H15" s="15"/>
      <c r="I15" s="15"/>
      <c r="J15" s="19" t="s">
        <v>34</v>
      </c>
      <c r="K15" s="17" t="s">
        <v>33</v>
      </c>
      <c r="L15" s="22">
        <v>46225</v>
      </c>
      <c r="M15" s="20">
        <v>46288</v>
      </c>
      <c r="N15" s="16">
        <v>1.5</v>
      </c>
      <c r="O15" s="3" t="str">
        <f>任务计划表!K15</f>
        <v xml:space="preserve"> @朱葵阳(80019092)(朱葵阳)</v>
      </c>
      <c r="P15" s="11">
        <f>IF(IF(任务计划表!L15="/",人员资源情况!$A$2,L15)&gt;M15,M15,(IF(任务计划表!L15="/",人员资源情况!$A$2,L15)))</f>
        <v>46225</v>
      </c>
      <c r="Q15" s="11">
        <f>IF(M15="/",人员资源情况!$B$2,任务计划表!M15)</f>
        <v>46288</v>
      </c>
      <c r="R15" s="9">
        <f>任务计划表!N15</f>
        <v>1.5</v>
      </c>
      <c r="S15" s="6">
        <f>IF(O15=人员资源情况!C$2,1,0)</f>
        <v>0</v>
      </c>
      <c r="T15" s="6">
        <f>IF(P15&gt;=人员资源情况!A$2,1,0)</f>
        <v>1</v>
      </c>
      <c r="U15" s="6">
        <f>IF(Q15&lt;=人员资源情况!B$2,1,0)</f>
        <v>0</v>
      </c>
      <c r="V15" s="8">
        <f>IF(T15*U15,Q15-P15,IF(T15&gt;U15,人员资源情况!B$2-P15,IF(T15&lt;U15,任务计划表!Q15-人员资源情况!A$2,0)))*R15*S15</f>
        <v>0</v>
      </c>
      <c r="W15" s="9">
        <f t="shared" si="0"/>
        <v>0</v>
      </c>
    </row>
    <row r="16" spans="5:23" ht="14.25" customHeight="1" x14ac:dyDescent="0.3">
      <c r="E16" s="64"/>
      <c r="F16" s="53"/>
      <c r="G16" s="15"/>
      <c r="H16" s="15"/>
      <c r="I16" s="15"/>
      <c r="J16" s="21" t="s">
        <v>24</v>
      </c>
      <c r="K16" s="17" t="s">
        <v>25</v>
      </c>
      <c r="L16" s="22"/>
      <c r="M16" s="20"/>
      <c r="N16" s="16"/>
      <c r="O16" s="3" t="str">
        <f>任务计划表!K16</f>
        <v>@童景顺(80004217)(童景顺)</v>
      </c>
      <c r="P16" s="11">
        <f>IF(IF(任务计划表!L16="/",人员资源情况!$A$2,L16)&gt;M16,M16,(IF(任务计划表!L16="/",人员资源情况!$A$2,L16)))</f>
        <v>0</v>
      </c>
      <c r="Q16" s="11">
        <f>IF(M16="/",人员资源情况!$B$2,任务计划表!M16)</f>
        <v>0</v>
      </c>
      <c r="R16" s="9">
        <f>任务计划表!N16</f>
        <v>0</v>
      </c>
      <c r="S16" s="6">
        <f>IF(O16=人员资源情况!C$2,1,0)</f>
        <v>0</v>
      </c>
      <c r="T16" s="6">
        <f>IF(P16&gt;=人员资源情况!A$2,1,0)</f>
        <v>0</v>
      </c>
      <c r="U16" s="6">
        <f>IF(Q16&lt;=人员资源情况!B$2,1,0)</f>
        <v>1</v>
      </c>
      <c r="V16" s="8">
        <f>IF(T16*U16,Q16-P16,IF(T16&gt;U16,人员资源情况!B$2-P16,IF(T16&lt;U16,任务计划表!Q16-人员资源情况!A$2,0)))*R16*S16</f>
        <v>0</v>
      </c>
      <c r="W16" s="9">
        <f t="shared" si="0"/>
        <v>0</v>
      </c>
    </row>
    <row r="17" spans="5:23" ht="14.25" customHeight="1" x14ac:dyDescent="0.35">
      <c r="E17" s="64"/>
      <c r="F17" s="51" t="s">
        <v>35</v>
      </c>
      <c r="G17" s="15"/>
      <c r="H17" s="15"/>
      <c r="I17" s="15"/>
      <c r="J17" s="19" t="s">
        <v>17</v>
      </c>
      <c r="K17" s="17" t="s">
        <v>18</v>
      </c>
      <c r="L17" s="17" t="s">
        <v>15</v>
      </c>
      <c r="M17" s="15" t="s">
        <v>15</v>
      </c>
      <c r="N17" s="16">
        <v>0.5</v>
      </c>
      <c r="O17" s="3" t="str">
        <f>任务计划表!K17</f>
        <v xml:space="preserve"> @项家祺(80004213)(项家祺)</v>
      </c>
      <c r="P17" s="11">
        <f>IF(IF(任务计划表!L17="/",人员资源情况!$A$2,L17)&gt;M17,M17,(IF(任务计划表!L17="/",人员资源情况!$A$2,L17)))</f>
        <v>46220</v>
      </c>
      <c r="Q17" s="11">
        <f>IF(M17="/",人员资源情况!$B$2,任务计划表!M17)</f>
        <v>46234</v>
      </c>
      <c r="R17" s="9">
        <f>任务计划表!N17</f>
        <v>0.5</v>
      </c>
      <c r="S17" s="6">
        <f>IF(O17=人员资源情况!C$2,1,0)</f>
        <v>0</v>
      </c>
      <c r="T17" s="6">
        <f>IF(P17&gt;=人员资源情况!A$2,1,0)</f>
        <v>1</v>
      </c>
      <c r="U17" s="6">
        <f>IF(Q17&lt;=人员资源情况!B$2,1,0)</f>
        <v>1</v>
      </c>
      <c r="V17" s="8">
        <f>IF(T17*U17,Q17-P17,IF(T17&gt;U17,人员资源情况!B$2-P17,IF(T17&lt;U17,任务计划表!Q17-人员资源情况!A$2,0)))*R17*S17</f>
        <v>0</v>
      </c>
      <c r="W17" s="9">
        <f t="shared" si="0"/>
        <v>0</v>
      </c>
    </row>
    <row r="18" spans="5:23" ht="14.25" customHeight="1" x14ac:dyDescent="0.35">
      <c r="E18" s="64"/>
      <c r="F18" s="52"/>
      <c r="G18" s="15"/>
      <c r="H18" s="15"/>
      <c r="I18" s="15"/>
      <c r="J18" s="15" t="s">
        <v>31</v>
      </c>
      <c r="K18" s="17" t="s">
        <v>18</v>
      </c>
      <c r="L18" s="17" t="s">
        <v>15</v>
      </c>
      <c r="M18" s="25">
        <v>46233</v>
      </c>
      <c r="N18" s="16">
        <v>4</v>
      </c>
      <c r="O18" s="3" t="str">
        <f>任务计划表!K18</f>
        <v xml:space="preserve"> @项家祺(80004213)(项家祺)</v>
      </c>
      <c r="P18" s="11">
        <f>IF(IF(任务计划表!L18="/",人员资源情况!$A$2,L18)&gt;M18,M18,(IF(任务计划表!L18="/",人员资源情况!$A$2,L18)))</f>
        <v>46220</v>
      </c>
      <c r="Q18" s="11">
        <f>IF(M18="/",人员资源情况!$B$2,任务计划表!M18)</f>
        <v>46233</v>
      </c>
      <c r="R18" s="9">
        <f>任务计划表!N18</f>
        <v>4</v>
      </c>
      <c r="S18" s="6">
        <f>IF(O18=人员资源情况!C$2,1,0)</f>
        <v>0</v>
      </c>
      <c r="T18" s="6">
        <f>IF(P18&gt;=人员资源情况!A$2,1,0)</f>
        <v>1</v>
      </c>
      <c r="U18" s="6">
        <f>IF(Q18&lt;=人员资源情况!B$2,1,0)</f>
        <v>1</v>
      </c>
      <c r="V18" s="8">
        <f>IF(T18*U18,Q18-P18,IF(T18&gt;U18,人员资源情况!B$2-P18,IF(T18&lt;U18,任务计划表!Q18-人员资源情况!A$2,0)))*R18*S18</f>
        <v>0</v>
      </c>
      <c r="W18" s="9">
        <f t="shared" si="0"/>
        <v>0</v>
      </c>
    </row>
    <row r="19" spans="5:23" ht="14.25" customHeight="1" x14ac:dyDescent="0.35">
      <c r="E19" s="64"/>
      <c r="F19" s="52"/>
      <c r="G19" s="15"/>
      <c r="H19" s="15"/>
      <c r="I19" s="15"/>
      <c r="J19" s="19" t="s">
        <v>36</v>
      </c>
      <c r="K19" s="17" t="s">
        <v>37</v>
      </c>
      <c r="L19" s="20">
        <v>46205</v>
      </c>
      <c r="M19" s="20">
        <v>46230</v>
      </c>
      <c r="N19" s="16">
        <v>8</v>
      </c>
      <c r="O19" s="3" t="str">
        <f>任务计划表!K19</f>
        <v xml:space="preserve"> @毛文豪(80018842)</v>
      </c>
      <c r="P19" s="11">
        <f>IF(IF(任务计划表!L19="/",人员资源情况!$A$2,L19)&gt;M19,M19,(IF(任务计划表!L19="/",人员资源情况!$A$2,L19)))</f>
        <v>46205</v>
      </c>
      <c r="Q19" s="11">
        <f>IF(M19="/",人员资源情况!$B$2,任务计划表!M19)</f>
        <v>46230</v>
      </c>
      <c r="R19" s="9">
        <f>任务计划表!N19</f>
        <v>8</v>
      </c>
      <c r="S19" s="6">
        <f>IF(O19=人员资源情况!C$2,1,0)</f>
        <v>0</v>
      </c>
      <c r="T19" s="6">
        <f>IF(P19&gt;=人员资源情况!A$2,1,0)</f>
        <v>0</v>
      </c>
      <c r="U19" s="6">
        <f>IF(Q19&lt;=人员资源情况!B$2,1,0)</f>
        <v>1</v>
      </c>
      <c r="V19" s="8">
        <f>IF(T19*U19,Q19-P19,IF(T19&gt;U19,人员资源情况!B$2-P19,IF(T19&lt;U19,任务计划表!Q19-人员资源情况!A$2,0)))*R19*S19</f>
        <v>0</v>
      </c>
      <c r="W19" s="9">
        <f t="shared" si="0"/>
        <v>0</v>
      </c>
    </row>
    <row r="20" spans="5:23" ht="14.25" customHeight="1" x14ac:dyDescent="0.35">
      <c r="E20" s="64"/>
      <c r="F20" s="52"/>
      <c r="G20" s="15"/>
      <c r="H20" s="15"/>
      <c r="I20" s="15"/>
      <c r="J20" s="19" t="s">
        <v>38</v>
      </c>
      <c r="K20" s="17" t="s">
        <v>33</v>
      </c>
      <c r="L20" s="20">
        <v>46220</v>
      </c>
      <c r="M20" s="20">
        <v>46247</v>
      </c>
      <c r="N20" s="16">
        <v>6</v>
      </c>
      <c r="O20" s="3" t="str">
        <f>任务计划表!K20</f>
        <v xml:space="preserve"> @朱葵阳(80019092)(朱葵阳)</v>
      </c>
      <c r="P20" s="11">
        <f>IF(IF(任务计划表!L20="/",人员资源情况!$A$2,L20)&gt;M20,M20,(IF(任务计划表!L20="/",人员资源情况!$A$2,L20)))</f>
        <v>46220</v>
      </c>
      <c r="Q20" s="11">
        <f>IF(M20="/",人员资源情况!$B$2,任务计划表!M20)</f>
        <v>46247</v>
      </c>
      <c r="R20" s="9">
        <f>任务计划表!N20</f>
        <v>6</v>
      </c>
      <c r="S20" s="6">
        <f>IF(O20=人员资源情况!C$2,1,0)</f>
        <v>0</v>
      </c>
      <c r="T20" s="6">
        <f>IF(P20&gt;=人员资源情况!A$2,1,0)</f>
        <v>1</v>
      </c>
      <c r="U20" s="6">
        <f>IF(Q20&lt;=人员资源情况!B$2,1,0)</f>
        <v>0</v>
      </c>
      <c r="V20" s="8">
        <f>IF(T20*U20,Q20-P20,IF(T20&gt;U20,人员资源情况!B$2-P20,IF(T20&lt;U20,任务计划表!Q20-人员资源情况!A$2,0)))*R20*S20</f>
        <v>0</v>
      </c>
      <c r="W20" s="9">
        <f t="shared" si="0"/>
        <v>0</v>
      </c>
    </row>
    <row r="21" spans="5:23" ht="14.25" customHeight="1" x14ac:dyDescent="0.35">
      <c r="E21" s="64"/>
      <c r="F21" s="52"/>
      <c r="G21" s="15"/>
      <c r="H21" s="15"/>
      <c r="I21" s="15"/>
      <c r="J21" s="19" t="s">
        <v>38</v>
      </c>
      <c r="K21" s="17" t="s">
        <v>37</v>
      </c>
      <c r="L21" s="20">
        <v>46230</v>
      </c>
      <c r="M21" s="20">
        <v>46249</v>
      </c>
      <c r="N21" s="16">
        <v>6</v>
      </c>
      <c r="O21" s="3" t="str">
        <f>任务计划表!K21</f>
        <v xml:space="preserve"> @毛文豪(80018842)</v>
      </c>
      <c r="P21" s="11">
        <f>IF(IF(任务计划表!L21="/",人员资源情况!$A$2,L21)&gt;M21,M21,(IF(任务计划表!L21="/",人员资源情况!$A$2,L21)))</f>
        <v>46230</v>
      </c>
      <c r="Q21" s="11">
        <f>IF(M21="/",人员资源情况!$B$2,任务计划表!M21)</f>
        <v>46249</v>
      </c>
      <c r="R21" s="9">
        <f>任务计划表!N21</f>
        <v>6</v>
      </c>
      <c r="S21" s="6">
        <f>IF(O21=人员资源情况!C$2,1,0)</f>
        <v>0</v>
      </c>
      <c r="T21" s="6">
        <f>IF(P21&gt;=人员资源情况!A$2,1,0)</f>
        <v>1</v>
      </c>
      <c r="U21" s="6">
        <f>IF(Q21&lt;=人员资源情况!B$2,1,0)</f>
        <v>0</v>
      </c>
      <c r="V21" s="8">
        <f>IF(T21*U21,Q21-P21,IF(T21&gt;U21,人员资源情况!B$2-P21,IF(T21&lt;U21,任务计划表!Q21-人员资源情况!A$2,0)))*R21*S21</f>
        <v>0</v>
      </c>
      <c r="W21" s="9">
        <f t="shared" si="0"/>
        <v>0</v>
      </c>
    </row>
    <row r="22" spans="5:23" ht="14.25" customHeight="1" x14ac:dyDescent="0.3">
      <c r="E22" s="64"/>
      <c r="F22" s="52"/>
      <c r="G22" s="15"/>
      <c r="H22" s="15"/>
      <c r="I22" s="15"/>
      <c r="J22" s="21" t="s">
        <v>24</v>
      </c>
      <c r="K22" s="17" t="s">
        <v>25</v>
      </c>
      <c r="L22" s="24"/>
      <c r="M22" s="24"/>
      <c r="N22" s="16">
        <v>7</v>
      </c>
      <c r="O22" s="3" t="str">
        <f>任务计划表!K22</f>
        <v>@童景顺(80004217)(童景顺)</v>
      </c>
      <c r="P22" s="11">
        <f>IF(IF(任务计划表!L22="/",人员资源情况!$A$2,L22)&gt;M22,M22,(IF(任务计划表!L22="/",人员资源情况!$A$2,L22)))</f>
        <v>0</v>
      </c>
      <c r="Q22" s="11">
        <f>IF(M22="/",人员资源情况!$B$2,任务计划表!M22)</f>
        <v>0</v>
      </c>
      <c r="R22" s="9">
        <f>任务计划表!N22</f>
        <v>7</v>
      </c>
      <c r="S22" s="6">
        <f>IF(O22=人员资源情况!C$2,1,0)</f>
        <v>0</v>
      </c>
      <c r="T22" s="6">
        <f>IF(P22&gt;=人员资源情况!A$2,1,0)</f>
        <v>0</v>
      </c>
      <c r="U22" s="6">
        <f>IF(Q22&lt;=人员资源情况!B$2,1,0)</f>
        <v>1</v>
      </c>
      <c r="V22" s="8">
        <f>IF(T22*U22,Q22-P22,IF(T22&gt;U22,人员资源情况!B$2-P22,IF(T22&lt;U22,任务计划表!Q22-人员资源情况!A$2,0)))*R22*S22</f>
        <v>0</v>
      </c>
      <c r="W22" s="9">
        <f t="shared" si="0"/>
        <v>0</v>
      </c>
    </row>
    <row r="23" spans="5:23" ht="14.25" customHeight="1" x14ac:dyDescent="0.35">
      <c r="E23" s="64"/>
      <c r="F23" s="52"/>
      <c r="G23" s="15"/>
      <c r="H23" s="15"/>
      <c r="I23" s="15"/>
      <c r="J23" s="19" t="s">
        <v>39</v>
      </c>
      <c r="K23" s="17" t="s">
        <v>33</v>
      </c>
      <c r="L23" s="20">
        <v>46249</v>
      </c>
      <c r="M23" s="20">
        <v>46300</v>
      </c>
      <c r="N23" s="16">
        <v>2</v>
      </c>
      <c r="O23" s="3" t="str">
        <f>任务计划表!K23</f>
        <v xml:space="preserve"> @朱葵阳(80019092)(朱葵阳)</v>
      </c>
      <c r="P23" s="11">
        <f>IF(IF(任务计划表!L23="/",人员资源情况!$A$2,L23)&gt;M23,M23,(IF(任务计划表!L23="/",人员资源情况!$A$2,L23)))</f>
        <v>46249</v>
      </c>
      <c r="Q23" s="11">
        <f>IF(M23="/",人员资源情况!$B$2,任务计划表!M23)</f>
        <v>46300</v>
      </c>
      <c r="R23" s="9">
        <f>任务计划表!N23</f>
        <v>2</v>
      </c>
      <c r="S23" s="6">
        <f>IF(O23=人员资源情况!C$2,1,0)</f>
        <v>0</v>
      </c>
      <c r="T23" s="6">
        <f>IF(P23&gt;=人员资源情况!A$2,1,0)</f>
        <v>1</v>
      </c>
      <c r="U23" s="6">
        <f>IF(Q23&lt;=人员资源情况!B$2,1,0)</f>
        <v>0</v>
      </c>
      <c r="V23" s="8">
        <f>IF(T23*U23,Q23-P23,IF(T23&gt;U23,人员资源情况!B$2-P23,IF(T23&lt;U23,任务计划表!Q23-人员资源情况!A$2,0)))*R23*S23</f>
        <v>0</v>
      </c>
      <c r="W23" s="9">
        <f t="shared" si="0"/>
        <v>0</v>
      </c>
    </row>
    <row r="24" spans="5:23" ht="14.25" customHeight="1" x14ac:dyDescent="0.35">
      <c r="E24" s="64"/>
      <c r="F24" s="53"/>
      <c r="G24" s="15"/>
      <c r="H24" s="15"/>
      <c r="I24" s="15"/>
      <c r="J24" s="19" t="s">
        <v>34</v>
      </c>
      <c r="K24" s="17" t="s">
        <v>33</v>
      </c>
      <c r="L24" s="20">
        <v>46300</v>
      </c>
      <c r="M24" s="20">
        <v>46360</v>
      </c>
      <c r="N24" s="16">
        <v>1</v>
      </c>
      <c r="O24" s="3" t="str">
        <f>任务计划表!K24</f>
        <v xml:space="preserve"> @朱葵阳(80019092)(朱葵阳)</v>
      </c>
      <c r="P24" s="11">
        <f>IF(IF(任务计划表!L24="/",人员资源情况!$A$2,L24)&gt;M24,M24,(IF(任务计划表!L24="/",人员资源情况!$A$2,L24)))</f>
        <v>46300</v>
      </c>
      <c r="Q24" s="11">
        <f>IF(M24="/",人员资源情况!$B$2,任务计划表!M24)</f>
        <v>46360</v>
      </c>
      <c r="R24" s="9">
        <f>任务计划表!N24</f>
        <v>1</v>
      </c>
      <c r="S24" s="6">
        <f>IF(O24=人员资源情况!C$2,1,0)</f>
        <v>0</v>
      </c>
      <c r="T24" s="6">
        <f>IF(P24&gt;=人员资源情况!A$2,1,0)</f>
        <v>1</v>
      </c>
      <c r="U24" s="6">
        <f>IF(Q24&lt;=人员资源情况!B$2,1,0)</f>
        <v>0</v>
      </c>
      <c r="V24" s="8">
        <f>IF(T24*U24,Q24-P24,IF(T24&gt;U24,人员资源情况!B$2-P24,IF(T24&lt;U24,任务计划表!Q24-人员资源情况!A$2,0)))*R24*S24</f>
        <v>0</v>
      </c>
      <c r="W24" s="9">
        <f t="shared" si="0"/>
        <v>0</v>
      </c>
    </row>
    <row r="25" spans="5:23" ht="24.4" customHeight="1" x14ac:dyDescent="0.35">
      <c r="E25" s="65"/>
      <c r="F25" s="40" t="s">
        <v>40</v>
      </c>
      <c r="G25" s="15"/>
      <c r="H25" s="15"/>
      <c r="I25" s="16" t="s">
        <v>41</v>
      </c>
      <c r="J25" s="19" t="s">
        <v>20</v>
      </c>
      <c r="K25" s="17" t="s">
        <v>42</v>
      </c>
      <c r="L25" s="20">
        <v>46206</v>
      </c>
      <c r="M25" s="20">
        <v>46228</v>
      </c>
      <c r="N25" s="16">
        <v>2</v>
      </c>
      <c r="O25" s="3" t="str">
        <f>任务计划表!K25</f>
        <v xml:space="preserve"> @答金雨(80016793)</v>
      </c>
      <c r="P25" s="11">
        <f>IF(IF(任务计划表!L25="/",人员资源情况!$A$2,L25)&gt;M25,M25,(IF(任务计划表!L25="/",人员资源情况!$A$2,L25)))</f>
        <v>46206</v>
      </c>
      <c r="Q25" s="11">
        <f>IF(M25="/",人员资源情况!$B$2,任务计划表!M25)</f>
        <v>46228</v>
      </c>
      <c r="R25" s="9">
        <f>任务计划表!N25</f>
        <v>2</v>
      </c>
      <c r="S25" s="6">
        <f>IF(O25=人员资源情况!C$2,1,0)</f>
        <v>0</v>
      </c>
      <c r="T25" s="6">
        <f>IF(P25&gt;=人员资源情况!A$2,1,0)</f>
        <v>0</v>
      </c>
      <c r="U25" s="6">
        <f>IF(Q25&lt;=人员资源情况!B$2,1,0)</f>
        <v>1</v>
      </c>
      <c r="V25" s="8">
        <f>IF(T25*U25,Q25-P25,IF(T25&gt;U25,人员资源情况!B$2-P25,IF(T25&lt;U25,任务计划表!Q25-人员资源情况!A$2,0)))*R25*S25</f>
        <v>0</v>
      </c>
      <c r="W25" s="9">
        <f t="shared" si="0"/>
        <v>0</v>
      </c>
    </row>
    <row r="26" spans="5:23" ht="54.75" customHeight="1" x14ac:dyDescent="0.35">
      <c r="E26" s="51" t="s">
        <v>43</v>
      </c>
      <c r="F26" s="40" t="s">
        <v>44</v>
      </c>
      <c r="G26" s="15"/>
      <c r="H26" s="15"/>
      <c r="I26" s="50" t="s">
        <v>45</v>
      </c>
      <c r="J26" s="19" t="s">
        <v>20</v>
      </c>
      <c r="K26" s="17" t="s">
        <v>42</v>
      </c>
      <c r="L26" s="17" t="s">
        <v>15</v>
      </c>
      <c r="M26" s="19">
        <v>46227</v>
      </c>
      <c r="N26" s="26">
        <v>3</v>
      </c>
      <c r="O26" s="3" t="str">
        <f>任务计划表!K26</f>
        <v xml:space="preserve"> @答金雨(80016793)</v>
      </c>
      <c r="P26" s="11">
        <f>IF(IF(任务计划表!L26="/",人员资源情况!$A$2,L26)&gt;M26,M26,(IF(任务计划表!L26="/",人员资源情况!$A$2,L26)))</f>
        <v>46220</v>
      </c>
      <c r="Q26" s="11">
        <f>IF(M26="/",人员资源情况!$B$2,任务计划表!M26)</f>
        <v>46227</v>
      </c>
      <c r="R26" s="9">
        <f>任务计划表!N26</f>
        <v>3</v>
      </c>
      <c r="S26" s="6">
        <f>IF(O26=人员资源情况!C$2,1,0)</f>
        <v>0</v>
      </c>
      <c r="T26" s="6">
        <f>IF(P26&gt;=人员资源情况!A$2,1,0)</f>
        <v>1</v>
      </c>
      <c r="U26" s="6">
        <f>IF(Q26&lt;=人员资源情况!B$2,1,0)</f>
        <v>1</v>
      </c>
      <c r="V26" s="8">
        <f>IF(T26*U26,Q26-P26,IF(T26&gt;U26,人员资源情况!B$2-P26,IF(T26&lt;U26,任务计划表!Q26-人员资源情况!A$2,0)))*R26*S26</f>
        <v>0</v>
      </c>
      <c r="W26" s="9">
        <f t="shared" si="0"/>
        <v>0</v>
      </c>
    </row>
    <row r="27" spans="5:23" ht="14.25" customHeight="1" x14ac:dyDescent="0.35">
      <c r="E27" s="52"/>
      <c r="F27" s="40" t="s">
        <v>46</v>
      </c>
      <c r="G27" s="15"/>
      <c r="H27" s="15"/>
      <c r="I27" s="46" t="s">
        <v>16</v>
      </c>
      <c r="J27" s="19" t="s">
        <v>20</v>
      </c>
      <c r="K27" s="17" t="s">
        <v>42</v>
      </c>
      <c r="L27" s="17" t="s">
        <v>15</v>
      </c>
      <c r="M27" s="19">
        <v>46223</v>
      </c>
      <c r="N27" s="26">
        <v>6</v>
      </c>
      <c r="O27" s="3" t="str">
        <f>任务计划表!K27</f>
        <v xml:space="preserve"> @答金雨(80016793)</v>
      </c>
      <c r="P27" s="11">
        <f>IF(IF(任务计划表!L27="/",人员资源情况!$A$2,L27)&gt;M27,M27,(IF(任务计划表!L27="/",人员资源情况!$A$2,L27)))</f>
        <v>46220</v>
      </c>
      <c r="Q27" s="11">
        <f>IF(M27="/",人员资源情况!$B$2,任务计划表!M27)</f>
        <v>46223</v>
      </c>
      <c r="R27" s="9">
        <f>任务计划表!N27</f>
        <v>6</v>
      </c>
      <c r="S27" s="6">
        <f>IF(O27=人员资源情况!C$2,1,0)</f>
        <v>0</v>
      </c>
      <c r="T27" s="6">
        <f>IF(P27&gt;=人员资源情况!A$2,1,0)</f>
        <v>1</v>
      </c>
      <c r="U27" s="6">
        <f>IF(Q27&lt;=人员资源情况!B$2,1,0)</f>
        <v>1</v>
      </c>
      <c r="V27" s="8">
        <f>IF(T27*U27,Q27-P27,IF(T27&gt;U27,人员资源情况!B$2-P27,IF(T27&lt;U27,任务计划表!Q27-人员资源情况!A$2,0)))*R27*S27</f>
        <v>0</v>
      </c>
      <c r="W27" s="9">
        <f t="shared" si="0"/>
        <v>0</v>
      </c>
    </row>
    <row r="28" spans="5:23" ht="14.25" customHeight="1" x14ac:dyDescent="0.35">
      <c r="E28" s="52"/>
      <c r="F28" s="51" t="s">
        <v>47</v>
      </c>
      <c r="G28" s="15"/>
      <c r="H28" s="48"/>
      <c r="I28" s="33" t="s">
        <v>16</v>
      </c>
      <c r="J28" s="14" t="s">
        <v>17</v>
      </c>
      <c r="K28" s="17" t="s">
        <v>48</v>
      </c>
      <c r="L28" s="15" t="s">
        <v>15</v>
      </c>
      <c r="M28" s="19">
        <v>46275</v>
      </c>
      <c r="N28" s="26">
        <v>0.5</v>
      </c>
      <c r="O28" s="3" t="str">
        <f>任务计划表!K28</f>
        <v xml:space="preserve"> @危才文(80018808)</v>
      </c>
      <c r="P28" s="11">
        <f>IF(IF(任务计划表!L28="/",人员资源情况!$A$2,L28)&gt;M28,M28,(IF(任务计划表!L28="/",人员资源情况!$A$2,L28)))</f>
        <v>46220</v>
      </c>
      <c r="Q28" s="11">
        <f>IF(M28="/",人员资源情况!$B$2,任务计划表!M28)</f>
        <v>46275</v>
      </c>
      <c r="R28" s="9">
        <f>任务计划表!N28</f>
        <v>0.5</v>
      </c>
      <c r="S28" s="6">
        <f>IF(O28=人员资源情况!C$2,1,0)</f>
        <v>0</v>
      </c>
      <c r="T28" s="6">
        <f>IF(P28&gt;=人员资源情况!A$2,1,0)</f>
        <v>1</v>
      </c>
      <c r="U28" s="6">
        <f>IF(Q28&lt;=人员资源情况!B$2,1,0)</f>
        <v>0</v>
      </c>
      <c r="V28" s="8">
        <f>IF(T28*U28,Q28-P28,IF(T28&gt;U28,人员资源情况!B$2-P28,IF(T28&lt;U28,任务计划表!Q28-人员资源情况!A$2,0)))*R28*S28</f>
        <v>0</v>
      </c>
      <c r="W28" s="9">
        <f t="shared" si="0"/>
        <v>0</v>
      </c>
    </row>
    <row r="29" spans="5:23" ht="14.25" customHeight="1" x14ac:dyDescent="0.35">
      <c r="E29" s="52"/>
      <c r="F29" s="53"/>
      <c r="G29" s="15"/>
      <c r="H29" s="15"/>
      <c r="I29" s="46" t="s">
        <v>16</v>
      </c>
      <c r="J29" s="19" t="s">
        <v>49</v>
      </c>
      <c r="K29" s="17" t="s">
        <v>48</v>
      </c>
      <c r="L29" s="15" t="s">
        <v>15</v>
      </c>
      <c r="M29" s="19">
        <v>46225</v>
      </c>
      <c r="N29" s="26">
        <v>4</v>
      </c>
      <c r="O29" s="3" t="str">
        <f>任务计划表!K29</f>
        <v xml:space="preserve"> @危才文(80018808)</v>
      </c>
      <c r="P29" s="11">
        <f>IF(IF(任务计划表!L29="/",人员资源情况!$A$2,L29)&gt;M29,M29,(IF(任务计划表!L29="/",人员资源情况!$A$2,L29)))</f>
        <v>46220</v>
      </c>
      <c r="Q29" s="11">
        <f>IF(M29="/",人员资源情况!$B$2,任务计划表!M29)</f>
        <v>46225</v>
      </c>
      <c r="R29" s="9">
        <f>任务计划表!N29</f>
        <v>4</v>
      </c>
      <c r="S29" s="6">
        <f>IF(O29=人员资源情况!C$2,1,0)</f>
        <v>0</v>
      </c>
      <c r="T29" s="6">
        <f>IF(P29&gt;=人员资源情况!A$2,1,0)</f>
        <v>1</v>
      </c>
      <c r="U29" s="6">
        <f>IF(Q29&lt;=人员资源情况!B$2,1,0)</f>
        <v>1</v>
      </c>
      <c r="V29" s="8">
        <f>IF(T29*U29,Q29-P29,IF(T29&gt;U29,人员资源情况!B$2-P29,IF(T29&lt;U29,任务计划表!Q29-人员资源情况!A$2,0)))*R29*S29</f>
        <v>0</v>
      </c>
      <c r="W29" s="9">
        <f t="shared" si="0"/>
        <v>0</v>
      </c>
    </row>
    <row r="30" spans="5:23" ht="14.25" customHeight="1" x14ac:dyDescent="0.35">
      <c r="E30" s="52"/>
      <c r="F30" s="31" t="s">
        <v>50</v>
      </c>
      <c r="G30" s="15"/>
      <c r="H30" s="15"/>
      <c r="I30" s="16" t="s">
        <v>51</v>
      </c>
      <c r="J30" s="27" t="s">
        <v>30</v>
      </c>
      <c r="K30" s="28" t="s">
        <v>52</v>
      </c>
      <c r="L30" s="15" t="s">
        <v>15</v>
      </c>
      <c r="M30" s="19">
        <v>46234</v>
      </c>
      <c r="N30" s="26">
        <v>6</v>
      </c>
      <c r="O30" s="3" t="str">
        <f>任务计划表!K30</f>
        <v xml:space="preserve"> @舒杰(80018942)</v>
      </c>
      <c r="P30" s="11">
        <f>IF(IF(任务计划表!L30="/",人员资源情况!$A$2,L30)&gt;M30,M30,(IF(任务计划表!L30="/",人员资源情况!$A$2,L30)))</f>
        <v>46220</v>
      </c>
      <c r="Q30" s="11">
        <f>IF(M30="/",人员资源情况!$B$2,任务计划表!M30)</f>
        <v>46234</v>
      </c>
      <c r="R30" s="9">
        <f>任务计划表!N30</f>
        <v>6</v>
      </c>
      <c r="S30" s="6">
        <f>IF(O30=人员资源情况!C$2,1,0)</f>
        <v>0</v>
      </c>
      <c r="T30" s="6">
        <f>IF(P30&gt;=人员资源情况!A$2,1,0)</f>
        <v>1</v>
      </c>
      <c r="U30" s="6">
        <f>IF(Q30&lt;=人员资源情况!B$2,1,0)</f>
        <v>1</v>
      </c>
      <c r="V30" s="8">
        <f>IF(T30*U30,Q30-P30,IF(T30&gt;U30,人员资源情况!B$2-P30,IF(T30&lt;U30,任务计划表!Q30-人员资源情况!A$2,0)))*R30*S30</f>
        <v>0</v>
      </c>
      <c r="W30" s="9">
        <f t="shared" si="0"/>
        <v>0</v>
      </c>
    </row>
    <row r="31" spans="5:23" ht="14.25" customHeight="1" x14ac:dyDescent="0.35">
      <c r="E31" s="75"/>
      <c r="F31" s="79" t="s">
        <v>53</v>
      </c>
      <c r="G31" s="14"/>
      <c r="H31" s="15"/>
      <c r="I31" s="39" t="s">
        <v>54</v>
      </c>
      <c r="J31" s="19" t="s">
        <v>20</v>
      </c>
      <c r="K31" s="17" t="s">
        <v>37</v>
      </c>
      <c r="L31" s="29">
        <v>46230</v>
      </c>
      <c r="M31" s="19">
        <v>46239</v>
      </c>
      <c r="N31" s="26">
        <v>1</v>
      </c>
      <c r="O31" s="3" t="str">
        <f>任务计划表!K31</f>
        <v xml:space="preserve"> @毛文豪(80018842)</v>
      </c>
      <c r="P31" s="11">
        <f>IF(IF(任务计划表!L31="/",人员资源情况!$A$2,L31)&gt;M31,M31,(IF(任务计划表!L31="/",人员资源情况!$A$2,L31)))</f>
        <v>46230</v>
      </c>
      <c r="Q31" s="11">
        <f>IF(M31="/",人员资源情况!$B$2,任务计划表!M31)</f>
        <v>46239</v>
      </c>
      <c r="R31" s="9">
        <f>任务计划表!N31</f>
        <v>1</v>
      </c>
      <c r="S31" s="6">
        <f>IF(O31=人员资源情况!C$2,1,0)</f>
        <v>0</v>
      </c>
      <c r="T31" s="6">
        <f>IF(P31&gt;=人员资源情况!A$2,1,0)</f>
        <v>1</v>
      </c>
      <c r="U31" s="6">
        <f>IF(Q31&lt;=人员资源情况!B$2,1,0)</f>
        <v>0</v>
      </c>
      <c r="V31" s="8">
        <f>IF(T31*U31,Q31-P31,IF(T31&gt;U31,人员资源情况!B$2-P31,IF(T31&lt;U31,任务计划表!Q31-人员资源情况!A$2,0)))*R31*S31</f>
        <v>0</v>
      </c>
      <c r="W31" s="9">
        <f t="shared" si="0"/>
        <v>0</v>
      </c>
    </row>
    <row r="32" spans="5:23" ht="14.25" customHeight="1" x14ac:dyDescent="0.35">
      <c r="E32" s="75"/>
      <c r="F32" s="80"/>
      <c r="G32" s="14"/>
      <c r="H32" s="15"/>
      <c r="I32" s="33" t="s">
        <v>55</v>
      </c>
      <c r="J32" s="19" t="s">
        <v>20</v>
      </c>
      <c r="K32" s="17" t="s">
        <v>37</v>
      </c>
      <c r="L32" s="29">
        <v>46220</v>
      </c>
      <c r="M32" s="19">
        <v>46223</v>
      </c>
      <c r="N32" s="26">
        <v>0.8</v>
      </c>
      <c r="O32" s="3" t="str">
        <f>任务计划表!K32</f>
        <v xml:space="preserve"> @毛文豪(80018842)</v>
      </c>
      <c r="P32" s="11">
        <f>IF(IF(任务计划表!L32="/",人员资源情况!$A$2,L32)&gt;M32,M32,(IF(任务计划表!L32="/",人员资源情况!$A$2,L32)))</f>
        <v>46220</v>
      </c>
      <c r="Q32" s="11">
        <f>IF(M32="/",人员资源情况!$B$2,任务计划表!M32)</f>
        <v>46223</v>
      </c>
      <c r="R32" s="9">
        <f>任务计划表!N32</f>
        <v>0.8</v>
      </c>
      <c r="S32" s="6">
        <f>IF(O32=人员资源情况!C$2,1,0)</f>
        <v>0</v>
      </c>
      <c r="T32" s="6">
        <f>IF(P32&gt;=人员资源情况!A$2,1,0)</f>
        <v>1</v>
      </c>
      <c r="U32" s="6">
        <f>IF(Q32&lt;=人员资源情况!B$2,1,0)</f>
        <v>1</v>
      </c>
      <c r="V32" s="8">
        <f>IF(T32*U32,Q32-P32,IF(T32&gt;U32,人员资源情况!B$2-P32,IF(T32&lt;U32,任务计划表!Q32-人员资源情况!A$2,0)))*R32*S32</f>
        <v>0</v>
      </c>
      <c r="W32" s="9">
        <f t="shared" si="0"/>
        <v>0</v>
      </c>
    </row>
    <row r="33" spans="4:23" ht="14.25" customHeight="1" x14ac:dyDescent="0.35">
      <c r="E33" s="51" t="s">
        <v>56</v>
      </c>
      <c r="F33" s="40" t="s">
        <v>57</v>
      </c>
      <c r="G33" s="15"/>
      <c r="H33" s="15"/>
      <c r="I33" s="42" t="s">
        <v>58</v>
      </c>
      <c r="J33" s="19" t="s">
        <v>20</v>
      </c>
      <c r="K33" s="17" t="s">
        <v>48</v>
      </c>
      <c r="L33" s="15" t="s">
        <v>15</v>
      </c>
      <c r="M33" s="19">
        <v>46211</v>
      </c>
      <c r="N33" s="26">
        <v>6</v>
      </c>
      <c r="O33" s="3" t="str">
        <f>任务计划表!K33</f>
        <v xml:space="preserve"> @危才文(80018808)</v>
      </c>
      <c r="P33" s="11">
        <f>IF(IF(任务计划表!L33="/",人员资源情况!$A$2,L33)&gt;M33,M33,(IF(任务计划表!L33="/",人员资源情况!$A$2,L33)))</f>
        <v>46211</v>
      </c>
      <c r="Q33" s="11">
        <f>IF(M33="/",人员资源情况!$B$2,任务计划表!M33)</f>
        <v>46211</v>
      </c>
      <c r="R33" s="9">
        <f>任务计划表!N33</f>
        <v>6</v>
      </c>
      <c r="S33" s="6">
        <f>IF(O33=人员资源情况!C$2,1,0)</f>
        <v>0</v>
      </c>
      <c r="T33" s="6">
        <f>IF(P33&gt;=人员资源情况!A$2,1,0)</f>
        <v>0</v>
      </c>
      <c r="U33" s="6">
        <f>IF(Q33&lt;=人员资源情况!B$2,1,0)</f>
        <v>1</v>
      </c>
      <c r="V33" s="8">
        <f>IF(T33*U33,Q33-P33,IF(T33&gt;U33,人员资源情况!B$2-P33,IF(T33&lt;U33,任务计划表!Q33-人员资源情况!A$2,0)))*R33*S33</f>
        <v>0</v>
      </c>
      <c r="W33" s="9">
        <f t="shared" si="0"/>
        <v>0</v>
      </c>
    </row>
    <row r="34" spans="4:23" ht="14.25" customHeight="1" x14ac:dyDescent="0.3">
      <c r="E34" s="78"/>
      <c r="F34" s="40" t="s">
        <v>59</v>
      </c>
      <c r="G34" s="15"/>
      <c r="H34" s="15"/>
      <c r="I34" s="16" t="s">
        <v>60</v>
      </c>
      <c r="J34" s="15"/>
      <c r="K34" s="15"/>
      <c r="L34" s="15" t="s">
        <v>15</v>
      </c>
      <c r="M34" s="15" t="s">
        <v>15</v>
      </c>
      <c r="N34" s="15"/>
      <c r="O34" s="3">
        <f>任务计划表!K34</f>
        <v>0</v>
      </c>
      <c r="P34" s="11">
        <f>IF(IF(任务计划表!L34="/",人员资源情况!$A$2,L34)&gt;M34,M34,(IF(任务计划表!L34="/",人员资源情况!$A$2,L34)))</f>
        <v>46220</v>
      </c>
      <c r="Q34" s="11">
        <f>IF(M34="/",人员资源情况!$B$2,任务计划表!M34)</f>
        <v>46234</v>
      </c>
      <c r="R34" s="9">
        <f>任务计划表!N34</f>
        <v>0</v>
      </c>
      <c r="S34" s="6">
        <f>IF(O34=人员资源情况!C$2,1,0)</f>
        <v>0</v>
      </c>
      <c r="T34" s="6">
        <f>IF(P34&gt;=人员资源情况!A$2,1,0)</f>
        <v>1</v>
      </c>
      <c r="U34" s="6">
        <f>IF(Q34&lt;=人员资源情况!B$2,1,0)</f>
        <v>1</v>
      </c>
      <c r="V34" s="8">
        <f>IF(T34*U34,Q34-P34,IF(T34&gt;U34,人员资源情况!B$2-P34,IF(T34&lt;U34,任务计划表!Q34-人员资源情况!A$2,0)))*R34*S34</f>
        <v>0</v>
      </c>
      <c r="W34" s="9">
        <f t="shared" si="0"/>
        <v>0</v>
      </c>
    </row>
    <row r="35" spans="4:23" ht="14.25" customHeight="1" x14ac:dyDescent="0.3">
      <c r="E35" s="78"/>
      <c r="F35" s="31"/>
      <c r="G35" s="43"/>
      <c r="H35" s="43"/>
      <c r="I35" s="42"/>
      <c r="J35" s="19"/>
      <c r="K35" s="17"/>
      <c r="L35" s="15"/>
      <c r="M35" s="19"/>
      <c r="N35" s="26"/>
      <c r="O35" s="3">
        <f>任务计划表!K35</f>
        <v>0</v>
      </c>
      <c r="P35" s="11">
        <f>IF(IF(任务计划表!L35="/",人员资源情况!$A$2,L35)&gt;M35,M35,(IF(任务计划表!L35="/",人员资源情况!$A$2,L35)))</f>
        <v>0</v>
      </c>
      <c r="Q35" s="11">
        <f>IF(M35="/",人员资源情况!$B$2,任务计划表!M35)</f>
        <v>0</v>
      </c>
      <c r="R35" s="9">
        <f>任务计划表!N35</f>
        <v>0</v>
      </c>
      <c r="S35" s="6">
        <f>IF(O35=人员资源情况!C$2,1,0)</f>
        <v>0</v>
      </c>
      <c r="T35" s="6">
        <f>IF(P35&gt;=人员资源情况!A$2,1,0)</f>
        <v>0</v>
      </c>
      <c r="U35" s="6">
        <f>IF(Q35&lt;=人员资源情况!B$2,1,0)</f>
        <v>1</v>
      </c>
      <c r="V35" s="8">
        <f>IF(T35*U35,Q35-P35,IF(T35&gt;U35,人员资源情况!B$2-P35,IF(T35&lt;U35,任务计划表!Q35-人员资源情况!A$2,0)))*R35*S35</f>
        <v>0</v>
      </c>
      <c r="W35" s="9">
        <f t="shared" si="0"/>
        <v>0</v>
      </c>
    </row>
    <row r="36" spans="4:23" ht="14.25" customHeight="1" x14ac:dyDescent="0.3">
      <c r="E36" s="78"/>
      <c r="F36" s="52" t="s">
        <v>61</v>
      </c>
      <c r="G36" s="32"/>
      <c r="H36" s="32"/>
      <c r="I36" s="33"/>
      <c r="J36" s="30" t="s">
        <v>17</v>
      </c>
      <c r="K36" s="17" t="s">
        <v>25</v>
      </c>
      <c r="L36" s="32" t="s">
        <v>15</v>
      </c>
      <c r="M36" s="19">
        <v>46295</v>
      </c>
      <c r="N36" s="26">
        <v>0.5</v>
      </c>
      <c r="O36" s="3" t="str">
        <f>任务计划表!K36</f>
        <v>@童景顺(80004217)(童景顺)</v>
      </c>
      <c r="P36" s="11">
        <f>IF(IF(任务计划表!L36="/",人员资源情况!$A$2,L36)&gt;M36,M36,(IF(任务计划表!L36="/",人员资源情况!$A$2,L36)))</f>
        <v>46220</v>
      </c>
      <c r="Q36" s="11">
        <f>IF(M36="/",人员资源情况!$B$2,任务计划表!M36)</f>
        <v>46295</v>
      </c>
      <c r="R36" s="9">
        <f>任务计划表!N36</f>
        <v>0.5</v>
      </c>
      <c r="S36" s="6">
        <f>IF(O36=人员资源情况!C$2,1,0)</f>
        <v>0</v>
      </c>
      <c r="T36" s="6">
        <f>IF(P36&gt;=人员资源情况!A$2,1,0)</f>
        <v>1</v>
      </c>
      <c r="U36" s="6">
        <f>IF(Q36&lt;=人员资源情况!B$2,1,0)</f>
        <v>0</v>
      </c>
      <c r="V36" s="8">
        <f>IF(T36*U36,Q36-P36,IF(T36&gt;U36,人员资源情况!B$2-P36,IF(T36&lt;U36,任务计划表!Q36-人员资源情况!A$2,0)))*R36*S36</f>
        <v>0</v>
      </c>
      <c r="W36" s="9">
        <f t="shared" ref="W36:W67" si="1">IF(V36&lt;0,0,V36)</f>
        <v>0</v>
      </c>
    </row>
    <row r="37" spans="4:23" ht="14.25" customHeight="1" x14ac:dyDescent="0.3">
      <c r="E37" s="78"/>
      <c r="F37" s="78"/>
      <c r="G37" s="32"/>
      <c r="H37" s="32"/>
      <c r="I37" s="33"/>
      <c r="J37" s="21" t="s">
        <v>62</v>
      </c>
      <c r="K37" s="17" t="s">
        <v>25</v>
      </c>
      <c r="L37" s="19">
        <v>46221</v>
      </c>
      <c r="M37" s="19">
        <v>46240</v>
      </c>
      <c r="N37" s="26">
        <v>2</v>
      </c>
      <c r="O37" s="3" t="str">
        <f>任务计划表!K37</f>
        <v>@童景顺(80004217)(童景顺)</v>
      </c>
      <c r="P37" s="11">
        <f>IF(IF(任务计划表!L37="/",人员资源情况!$A$2,L37)&gt;M37,M37,(IF(任务计划表!L37="/",人员资源情况!$A$2,L37)))</f>
        <v>46221</v>
      </c>
      <c r="Q37" s="11">
        <f>IF(M37="/",人员资源情况!$B$2,任务计划表!M37)</f>
        <v>46240</v>
      </c>
      <c r="R37" s="9">
        <f>任务计划表!N37</f>
        <v>2</v>
      </c>
      <c r="S37" s="6">
        <f>IF(O37=人员资源情况!C$2,1,0)</f>
        <v>0</v>
      </c>
      <c r="T37" s="6">
        <f>IF(P37&gt;=人员资源情况!A$2,1,0)</f>
        <v>1</v>
      </c>
      <c r="U37" s="6">
        <f>IF(Q37&lt;=人员资源情况!B$2,1,0)</f>
        <v>0</v>
      </c>
      <c r="V37" s="8">
        <f>IF(T37*U37,Q37-P37,IF(T37&gt;U37,人员资源情况!B$2-P37,IF(T37&lt;U37,任务计划表!Q37-人员资源情况!A$2,0)))*R37*S37</f>
        <v>0</v>
      </c>
      <c r="W37" s="9">
        <f t="shared" si="1"/>
        <v>0</v>
      </c>
    </row>
    <row r="38" spans="4:23" ht="14.25" customHeight="1" x14ac:dyDescent="0.3">
      <c r="E38" s="78"/>
      <c r="F38" s="78"/>
      <c r="G38" s="32"/>
      <c r="H38" s="32"/>
      <c r="I38" s="46"/>
      <c r="J38" s="21" t="s">
        <v>63</v>
      </c>
      <c r="K38" s="17" t="s">
        <v>25</v>
      </c>
      <c r="L38" s="19">
        <v>46242</v>
      </c>
      <c r="M38" s="19">
        <v>46245</v>
      </c>
      <c r="N38" s="26">
        <v>7</v>
      </c>
      <c r="O38" s="3" t="str">
        <f>任务计划表!K38</f>
        <v>@童景顺(80004217)(童景顺)</v>
      </c>
      <c r="P38" s="11">
        <f>IF(IF(任务计划表!L38="/",人员资源情况!$A$2,L38)&gt;M38,M38,(IF(任务计划表!L38="/",人员资源情况!$A$2,L38)))</f>
        <v>46242</v>
      </c>
      <c r="Q38" s="11">
        <f>IF(M38="/",人员资源情况!$B$2,任务计划表!M38)</f>
        <v>46245</v>
      </c>
      <c r="R38" s="9">
        <f>任务计划表!N38</f>
        <v>7</v>
      </c>
      <c r="S38" s="6">
        <f>IF(O38=人员资源情况!C$2,1,0)</f>
        <v>0</v>
      </c>
      <c r="T38" s="6">
        <f>IF(P38&gt;=人员资源情况!A$2,1,0)</f>
        <v>1</v>
      </c>
      <c r="U38" s="6">
        <f>IF(Q38&lt;=人员资源情况!B$2,1,0)</f>
        <v>0</v>
      </c>
      <c r="V38" s="8">
        <f>IF(T38*U38,Q38-P38,IF(T38&gt;U38,人员资源情况!B$2-P38,IF(T38&lt;U38,任务计划表!Q38-人员资源情况!A$2,0)))*R38*S38</f>
        <v>0</v>
      </c>
      <c r="W38" s="9">
        <f t="shared" si="1"/>
        <v>0</v>
      </c>
    </row>
    <row r="39" spans="4:23" ht="14.25" customHeight="1" x14ac:dyDescent="0.35">
      <c r="E39" s="78"/>
      <c r="F39" s="78"/>
      <c r="G39" s="32"/>
      <c r="H39" s="32"/>
      <c r="I39" s="46"/>
      <c r="J39" s="32" t="s">
        <v>64</v>
      </c>
      <c r="K39" s="17" t="s">
        <v>18</v>
      </c>
      <c r="L39" s="19">
        <v>46221</v>
      </c>
      <c r="M39" s="19">
        <v>46241</v>
      </c>
      <c r="N39" s="26">
        <v>2</v>
      </c>
      <c r="O39" s="3" t="str">
        <f>任务计划表!K39</f>
        <v xml:space="preserve"> @项家祺(80004213)(项家祺)</v>
      </c>
      <c r="P39" s="11">
        <f>IF(IF(任务计划表!L39="/",人员资源情况!$A$2,L39)&gt;M39,M39,(IF(任务计划表!L39="/",人员资源情况!$A$2,L39)))</f>
        <v>46221</v>
      </c>
      <c r="Q39" s="11">
        <f>IF(M39="/",人员资源情况!$B$2,任务计划表!M39)</f>
        <v>46241</v>
      </c>
      <c r="R39" s="9">
        <f>任务计划表!N39</f>
        <v>2</v>
      </c>
      <c r="S39" s="6">
        <f>IF(O39=人员资源情况!C$2,1,0)</f>
        <v>0</v>
      </c>
      <c r="T39" s="6">
        <f>IF(P39&gt;=人员资源情况!A$2,1,0)</f>
        <v>1</v>
      </c>
      <c r="U39" s="6">
        <f>IF(Q39&lt;=人员资源情况!B$2,1,0)</f>
        <v>0</v>
      </c>
      <c r="V39" s="8">
        <f>IF(T39*U39,Q39-P39,IF(T39&gt;U39,人员资源情况!B$2-P39,IF(T39&lt;U39,任务计划表!Q39-人员资源情况!A$2,0)))*R39*S39</f>
        <v>0</v>
      </c>
      <c r="W39" s="9">
        <f t="shared" si="1"/>
        <v>0</v>
      </c>
    </row>
    <row r="40" spans="4:23" ht="14.25" customHeight="1" x14ac:dyDescent="0.35">
      <c r="E40" s="78"/>
      <c r="F40" s="78"/>
      <c r="G40" s="32"/>
      <c r="H40" s="32"/>
      <c r="I40" s="46"/>
      <c r="J40" s="32" t="s">
        <v>65</v>
      </c>
      <c r="K40" s="17" t="s">
        <v>22</v>
      </c>
      <c r="L40" s="19">
        <v>46242</v>
      </c>
      <c r="M40" s="19">
        <v>46264</v>
      </c>
      <c r="N40" s="26">
        <v>1</v>
      </c>
      <c r="O40" s="3" t="str">
        <f>任务计划表!K40</f>
        <v xml:space="preserve"> @李昊龙(80016809)</v>
      </c>
      <c r="P40" s="11">
        <f>IF(IF(任务计划表!L40="/",人员资源情况!$A$2,L40)&gt;M40,M40,(IF(任务计划表!L40="/",人员资源情况!$A$2,L40)))</f>
        <v>46242</v>
      </c>
      <c r="Q40" s="11">
        <f>IF(M40="/",人员资源情况!$B$2,任务计划表!M40)</f>
        <v>46264</v>
      </c>
      <c r="R40" s="9">
        <f>任务计划表!N40</f>
        <v>1</v>
      </c>
      <c r="S40" s="6">
        <f>IF(O40=人员资源情况!C$2,1,0)</f>
        <v>0</v>
      </c>
      <c r="T40" s="6">
        <f>IF(P40&gt;=人员资源情况!A$2,1,0)</f>
        <v>1</v>
      </c>
      <c r="U40" s="6">
        <f>IF(Q40&lt;=人员资源情况!B$2,1,0)</f>
        <v>0</v>
      </c>
      <c r="V40" s="8">
        <f>IF(T40*U40,Q40-P40,IF(T40&gt;U40,人员资源情况!B$2-P40,IF(T40&lt;U40,任务计划表!Q40-人员资源情况!A$2,0)))*R40*S40</f>
        <v>0</v>
      </c>
      <c r="W40" s="9">
        <f t="shared" si="1"/>
        <v>0</v>
      </c>
    </row>
    <row r="41" spans="4:23" ht="14.25" customHeight="1" x14ac:dyDescent="0.35">
      <c r="E41" s="78"/>
      <c r="F41" s="78"/>
      <c r="G41" s="32"/>
      <c r="H41" s="32"/>
      <c r="I41" s="46"/>
      <c r="J41" s="32" t="s">
        <v>65</v>
      </c>
      <c r="K41" s="17" t="s">
        <v>21</v>
      </c>
      <c r="L41" s="19">
        <v>46242</v>
      </c>
      <c r="M41" s="19">
        <v>46264</v>
      </c>
      <c r="N41" s="26">
        <v>1</v>
      </c>
      <c r="O41" s="3" t="str">
        <f>任务计划表!K41</f>
        <v xml:space="preserve"> @袁琮欣(80015786)(袁琮欣)</v>
      </c>
      <c r="P41" s="11">
        <f>IF(IF(任务计划表!L41="/",人员资源情况!$A$2,L41)&gt;M41,M41,(IF(任务计划表!L41="/",人员资源情况!$A$2,L41)))</f>
        <v>46242</v>
      </c>
      <c r="Q41" s="11">
        <f>IF(M41="/",人员资源情况!$B$2,任务计划表!M41)</f>
        <v>46264</v>
      </c>
      <c r="R41" s="9">
        <f>任务计划表!N41</f>
        <v>1</v>
      </c>
      <c r="S41" s="6">
        <f>IF(O41=人员资源情况!C$2,1,0)</f>
        <v>0</v>
      </c>
      <c r="T41" s="6">
        <f>IF(P41&gt;=人员资源情况!A$2,1,0)</f>
        <v>1</v>
      </c>
      <c r="U41" s="6">
        <f>IF(Q41&lt;=人员资源情况!B$2,1,0)</f>
        <v>0</v>
      </c>
      <c r="V41" s="8">
        <f>IF(T41*U41,Q41-P41,IF(T41&gt;U41,人员资源情况!B$2-P41,IF(T41&lt;U41,任务计划表!Q41-人员资源情况!A$2,0)))*R41*S41</f>
        <v>0</v>
      </c>
      <c r="W41" s="9">
        <f t="shared" si="1"/>
        <v>0</v>
      </c>
    </row>
    <row r="42" spans="4:23" ht="14.25" customHeight="1" x14ac:dyDescent="0.35">
      <c r="E42" s="78"/>
      <c r="F42" s="78"/>
      <c r="G42" s="32"/>
      <c r="H42" s="32"/>
      <c r="I42" s="46"/>
      <c r="J42" s="32" t="s">
        <v>66</v>
      </c>
      <c r="K42" s="17" t="s">
        <v>28</v>
      </c>
      <c r="L42" s="19">
        <v>46276</v>
      </c>
      <c r="M42" s="19">
        <v>46279</v>
      </c>
      <c r="N42" s="26">
        <v>8</v>
      </c>
      <c r="O42" s="3" t="str">
        <f>任务计划表!K42</f>
        <v xml:space="preserve"> @张国庆(80019159)</v>
      </c>
      <c r="P42" s="11">
        <f>IF(IF(任务计划表!L42="/",人员资源情况!$A$2,L42)&gt;M42,M42,(IF(任务计划表!L42="/",人员资源情况!$A$2,L42)))</f>
        <v>46276</v>
      </c>
      <c r="Q42" s="11">
        <f>IF(M42="/",人员资源情况!$B$2,任务计划表!M42)</f>
        <v>46279</v>
      </c>
      <c r="R42" s="9">
        <f>任务计划表!N42</f>
        <v>8</v>
      </c>
      <c r="S42" s="6">
        <f>IF(O42=人员资源情况!C$2,1,0)</f>
        <v>0</v>
      </c>
      <c r="T42" s="6">
        <f>IF(P42&gt;=人员资源情况!A$2,1,0)</f>
        <v>1</v>
      </c>
      <c r="U42" s="6">
        <f>IF(Q42&lt;=人员资源情况!B$2,1,0)</f>
        <v>0</v>
      </c>
      <c r="V42" s="8">
        <f>IF(T42*U42,Q42-P42,IF(T42&gt;U42,人员资源情况!B$2-P42,IF(T42&lt;U42,任务计划表!Q42-人员资源情况!A$2,0)))*R42*S42</f>
        <v>0</v>
      </c>
      <c r="W42" s="9">
        <f t="shared" si="1"/>
        <v>0</v>
      </c>
    </row>
    <row r="43" spans="4:23" ht="14.25" customHeight="1" x14ac:dyDescent="0.35">
      <c r="E43" s="78"/>
      <c r="F43" s="78"/>
      <c r="G43" s="32"/>
      <c r="H43" s="32"/>
      <c r="I43" s="46"/>
      <c r="J43" s="32" t="s">
        <v>67</v>
      </c>
      <c r="K43" s="17" t="s">
        <v>21</v>
      </c>
      <c r="L43" s="19">
        <v>46278</v>
      </c>
      <c r="M43" s="19">
        <v>46278</v>
      </c>
      <c r="N43" s="26">
        <v>8</v>
      </c>
      <c r="O43" s="3" t="str">
        <f>任务计划表!K43</f>
        <v xml:space="preserve"> @袁琮欣(80015786)(袁琮欣)</v>
      </c>
      <c r="P43" s="11">
        <f>IF(IF(任务计划表!L43="/",人员资源情况!$A$2,L43)&gt;M43,M43,(IF(任务计划表!L43="/",人员资源情况!$A$2,L43)))</f>
        <v>46278</v>
      </c>
      <c r="Q43" s="11">
        <f>IF(M43="/",人员资源情况!$B$2,任务计划表!M43)</f>
        <v>46278</v>
      </c>
      <c r="R43" s="9">
        <f>任务计划表!N43</f>
        <v>8</v>
      </c>
      <c r="S43" s="6">
        <f>IF(O43=人员资源情况!C$2,1,0)</f>
        <v>0</v>
      </c>
      <c r="T43" s="6">
        <f>IF(P43&gt;=人员资源情况!A$2,1,0)</f>
        <v>1</v>
      </c>
      <c r="U43" s="6">
        <f>IF(Q43&lt;=人员资源情况!B$2,1,0)</f>
        <v>0</v>
      </c>
      <c r="V43" s="8">
        <f>IF(T43*U43,Q43-P43,IF(T43&gt;U43,人员资源情况!B$2-P43,IF(T43&lt;U43,任务计划表!Q43-人员资源情况!A$2,0)))*R43*S43</f>
        <v>0</v>
      </c>
      <c r="W43" s="9">
        <f t="shared" si="1"/>
        <v>0</v>
      </c>
    </row>
    <row r="44" spans="4:23" ht="14.25" customHeight="1" x14ac:dyDescent="0.35">
      <c r="E44" s="78"/>
      <c r="F44" s="78"/>
      <c r="G44" s="32"/>
      <c r="H44" s="32"/>
      <c r="I44" s="46"/>
      <c r="J44" s="32" t="s">
        <v>39</v>
      </c>
      <c r="K44" s="17" t="s">
        <v>21</v>
      </c>
      <c r="L44" s="19">
        <v>46279</v>
      </c>
      <c r="M44" s="19">
        <v>46311</v>
      </c>
      <c r="N44" s="26">
        <v>1</v>
      </c>
      <c r="O44" s="3" t="str">
        <f>任务计划表!K44</f>
        <v xml:space="preserve"> @袁琮欣(80015786)(袁琮欣)</v>
      </c>
      <c r="P44" s="11">
        <f>IF(IF(任务计划表!L44="/",人员资源情况!$A$2,L44)&gt;M44,M44,(IF(任务计划表!L44="/",人员资源情况!$A$2,L44)))</f>
        <v>46279</v>
      </c>
      <c r="Q44" s="11">
        <f>IF(M44="/",人员资源情况!$B$2,任务计划表!M44)</f>
        <v>46311</v>
      </c>
      <c r="R44" s="9">
        <f>任务计划表!N44</f>
        <v>1</v>
      </c>
      <c r="S44" s="6">
        <f>IF(O44=人员资源情况!C$2,1,0)</f>
        <v>0</v>
      </c>
      <c r="T44" s="6">
        <f>IF(P44&gt;=人员资源情况!A$2,1,0)</f>
        <v>1</v>
      </c>
      <c r="U44" s="6">
        <f>IF(Q44&lt;=人员资源情况!B$2,1,0)</f>
        <v>0</v>
      </c>
      <c r="V44" s="8">
        <f>IF(T44*U44,Q44-P44,IF(T44&gt;U44,人员资源情况!B$2-P44,IF(T44&lt;U44,任务计划表!Q44-人员资源情况!A$2,0)))*R44*S44</f>
        <v>0</v>
      </c>
      <c r="W44" s="9">
        <f t="shared" si="1"/>
        <v>0</v>
      </c>
    </row>
    <row r="45" spans="4:23" ht="14.25" customHeight="1" x14ac:dyDescent="0.35">
      <c r="E45" s="78"/>
      <c r="F45" s="78"/>
      <c r="G45" s="32"/>
      <c r="H45" s="32"/>
      <c r="I45" s="46"/>
      <c r="J45" s="32" t="s">
        <v>39</v>
      </c>
      <c r="K45" s="17" t="s">
        <v>22</v>
      </c>
      <c r="L45" s="19">
        <v>46279</v>
      </c>
      <c r="M45" s="19">
        <v>46311</v>
      </c>
      <c r="N45" s="26">
        <v>1.5</v>
      </c>
      <c r="O45" s="3" t="str">
        <f>任务计划表!K45</f>
        <v xml:space="preserve"> @李昊龙(80016809)</v>
      </c>
      <c r="P45" s="11">
        <f>IF(IF(任务计划表!L45="/",人员资源情况!$A$2,L45)&gt;M45,M45,(IF(任务计划表!L45="/",人员资源情况!$A$2,L45)))</f>
        <v>46279</v>
      </c>
      <c r="Q45" s="11">
        <f>IF(M45="/",人员资源情况!$B$2,任务计划表!M45)</f>
        <v>46311</v>
      </c>
      <c r="R45" s="9">
        <f>任务计划表!N45</f>
        <v>1.5</v>
      </c>
      <c r="S45" s="6">
        <f>IF(O45=人员资源情况!C$2,1,0)</f>
        <v>0</v>
      </c>
      <c r="T45" s="6">
        <f>IF(P45&gt;=人员资源情况!A$2,1,0)</f>
        <v>1</v>
      </c>
      <c r="U45" s="6">
        <f>IF(Q45&lt;=人员资源情况!B$2,1,0)</f>
        <v>0</v>
      </c>
      <c r="V45" s="8">
        <f>IF(T45*U45,Q45-P45,IF(T45&gt;U45,人员资源情况!B$2-P45,IF(T45&lt;U45,任务计划表!Q45-人员资源情况!A$2,0)))*R45*S45</f>
        <v>0</v>
      </c>
      <c r="W45" s="9">
        <f t="shared" si="1"/>
        <v>0</v>
      </c>
    </row>
    <row r="46" spans="4:23" ht="14.25" customHeight="1" x14ac:dyDescent="0.35">
      <c r="E46" s="78"/>
      <c r="F46" s="78"/>
      <c r="G46" s="32"/>
      <c r="H46" s="32"/>
      <c r="I46" s="33"/>
      <c r="J46" s="14" t="s">
        <v>68</v>
      </c>
      <c r="K46" s="17" t="s">
        <v>69</v>
      </c>
      <c r="L46" s="19">
        <v>46295</v>
      </c>
      <c r="M46" s="19">
        <v>46295</v>
      </c>
      <c r="N46" s="26">
        <v>0</v>
      </c>
      <c r="O46" s="3" t="str">
        <f>任务计划表!K46</f>
        <v xml:space="preserve"> @童景顺(80004217)(童景顺)</v>
      </c>
      <c r="P46" s="11">
        <f>IF(IF(任务计划表!L46="/",人员资源情况!$A$2,L46)&gt;M46,M46,(IF(任务计划表!L46="/",人员资源情况!$A$2,L46)))</f>
        <v>46295</v>
      </c>
      <c r="Q46" s="11">
        <f>IF(M46="/",人员资源情况!$B$2,任务计划表!M46)</f>
        <v>46295</v>
      </c>
      <c r="R46" s="9">
        <f>任务计划表!N46</f>
        <v>0</v>
      </c>
      <c r="S46" s="6">
        <f>IF(O46=人员资源情况!C$2,1,0)</f>
        <v>0</v>
      </c>
      <c r="T46" s="6">
        <f>IF(P46&gt;=人员资源情况!A$2,1,0)</f>
        <v>1</v>
      </c>
      <c r="U46" s="6">
        <f>IF(Q46&lt;=人员资源情况!B$2,1,0)</f>
        <v>0</v>
      </c>
      <c r="V46" s="8">
        <f>IF(T46*U46,Q46-P46,IF(T46&gt;U46,人员资源情况!B$2-P46,IF(T46&lt;U46,任务计划表!Q46-人员资源情况!A$2,0)))*R46*S46</f>
        <v>0</v>
      </c>
      <c r="W46" s="9">
        <f t="shared" si="1"/>
        <v>0</v>
      </c>
    </row>
    <row r="47" spans="4:23" ht="14.25" customHeight="1" x14ac:dyDescent="0.35">
      <c r="E47" s="54" t="s">
        <v>70</v>
      </c>
      <c r="F47" s="54" t="s">
        <v>71</v>
      </c>
      <c r="G47" s="32"/>
      <c r="H47" s="32"/>
      <c r="I47" s="33"/>
      <c r="J47" s="29" t="s">
        <v>17</v>
      </c>
      <c r="K47" s="17" t="s">
        <v>42</v>
      </c>
      <c r="L47" s="19">
        <v>46206</v>
      </c>
      <c r="M47" s="19">
        <v>46258</v>
      </c>
      <c r="N47" s="26">
        <v>0.5</v>
      </c>
      <c r="O47" s="3" t="str">
        <f>任务计划表!K47</f>
        <v xml:space="preserve"> @答金雨(80016793)</v>
      </c>
      <c r="P47" s="11">
        <f>IF(IF(任务计划表!L47="/",人员资源情况!$A$2,L47)&gt;M47,M47,(IF(任务计划表!L47="/",人员资源情况!$A$2,L47)))</f>
        <v>46206</v>
      </c>
      <c r="Q47" s="11">
        <f>IF(M47="/",人员资源情况!$B$2,任务计划表!M47)</f>
        <v>46258</v>
      </c>
      <c r="R47" s="9">
        <f>任务计划表!N47</f>
        <v>0.5</v>
      </c>
      <c r="S47" s="6">
        <f>IF(O47=人员资源情况!C$2,1,0)</f>
        <v>0</v>
      </c>
      <c r="T47" s="6">
        <f>IF(P47&gt;=人员资源情况!A$2,1,0)</f>
        <v>0</v>
      </c>
      <c r="U47" s="6">
        <f>IF(Q47&lt;=人员资源情况!B$2,1,0)</f>
        <v>0</v>
      </c>
      <c r="V47" s="8">
        <f>IF(T47*U47,Q47-P47,IF(T47&gt;U47,人员资源情况!B$2-P47,IF(T47&lt;U47,任务计划表!Q47-人员资源情况!A$2,0)))*R47*S47</f>
        <v>0</v>
      </c>
      <c r="W47" s="9">
        <f t="shared" si="1"/>
        <v>0</v>
      </c>
    </row>
    <row r="48" spans="4:23" ht="14.25" customHeight="1" x14ac:dyDescent="0.35">
      <c r="D48" s="9" t="s">
        <v>72</v>
      </c>
      <c r="E48" s="78"/>
      <c r="F48" s="55"/>
      <c r="G48" s="32"/>
      <c r="H48" s="32"/>
      <c r="I48" s="33"/>
      <c r="J48" s="29" t="s">
        <v>31</v>
      </c>
      <c r="K48" s="17" t="s">
        <v>37</v>
      </c>
      <c r="L48" s="15" t="s">
        <v>15</v>
      </c>
      <c r="M48" s="19">
        <v>46225</v>
      </c>
      <c r="N48" s="26">
        <v>8</v>
      </c>
      <c r="O48" s="3" t="str">
        <f>任务计划表!K48</f>
        <v xml:space="preserve"> @毛文豪(80018842)</v>
      </c>
      <c r="P48" s="11">
        <f>IF(IF(任务计划表!L48="/",人员资源情况!$A$2,L48)&gt;M48,M48,(IF(任务计划表!L48="/",人员资源情况!$A$2,L48)))</f>
        <v>46220</v>
      </c>
      <c r="Q48" s="11">
        <f>IF(M48="/",人员资源情况!$B$2,任务计划表!M48)</f>
        <v>46225</v>
      </c>
      <c r="R48" s="9">
        <f>任务计划表!N48</f>
        <v>8</v>
      </c>
      <c r="S48" s="6">
        <f>IF(O48=人员资源情况!C$2,1,0)</f>
        <v>0</v>
      </c>
      <c r="T48" s="6">
        <f>IF(P48&gt;=人员资源情况!A$2,1,0)</f>
        <v>1</v>
      </c>
      <c r="U48" s="6">
        <f>IF(Q48&lt;=人员资源情况!B$2,1,0)</f>
        <v>1</v>
      </c>
      <c r="V48" s="8">
        <f>IF(T48*U48,Q48-P48,IF(T48&gt;U48,人员资源情况!B$2-P48,IF(T48&lt;U48,任务计划表!Q48-人员资源情况!A$2,0)))*R48*S48</f>
        <v>0</v>
      </c>
      <c r="W48" s="9">
        <f t="shared" si="1"/>
        <v>0</v>
      </c>
    </row>
    <row r="49" spans="4:23" ht="14.25" customHeight="1" x14ac:dyDescent="0.35">
      <c r="D49" s="9" t="s">
        <v>73</v>
      </c>
      <c r="E49" s="78"/>
      <c r="F49" s="55"/>
      <c r="G49" s="32"/>
      <c r="H49" s="32"/>
      <c r="I49" s="33"/>
      <c r="J49" s="29" t="s">
        <v>74</v>
      </c>
      <c r="K49" s="17" t="s">
        <v>37</v>
      </c>
      <c r="L49" s="19">
        <v>46225</v>
      </c>
      <c r="M49" s="19">
        <v>46228</v>
      </c>
      <c r="N49" s="26">
        <v>7</v>
      </c>
      <c r="O49" s="3" t="str">
        <f>任务计划表!K49</f>
        <v xml:space="preserve"> @毛文豪(80018842)</v>
      </c>
      <c r="P49" s="11">
        <f>IF(IF(任务计划表!L49="/",人员资源情况!$A$2,L49)&gt;M49,M49,(IF(任务计划表!L49="/",人员资源情况!$A$2,L49)))</f>
        <v>46225</v>
      </c>
      <c r="Q49" s="11">
        <f>IF(M49="/",人员资源情况!$B$2,任务计划表!M49)</f>
        <v>46228</v>
      </c>
      <c r="R49" s="9">
        <f>任务计划表!N49</f>
        <v>7</v>
      </c>
      <c r="S49" s="6">
        <f>IF(O49=人员资源情况!C$2,1,0)</f>
        <v>0</v>
      </c>
      <c r="T49" s="6">
        <f>IF(P49&gt;=人员资源情况!A$2,1,0)</f>
        <v>1</v>
      </c>
      <c r="U49" s="6">
        <f>IF(Q49&lt;=人员资源情况!B$2,1,0)</f>
        <v>1</v>
      </c>
      <c r="V49" s="8">
        <f>IF(T49*U49,Q49-P49,IF(T49&gt;U49,人员资源情况!B$2-P49,IF(T49&lt;U49,任务计划表!Q49-人员资源情况!A$2,0)))*R49*S49</f>
        <v>0</v>
      </c>
      <c r="W49" s="9">
        <f t="shared" si="1"/>
        <v>0</v>
      </c>
    </row>
    <row r="50" spans="4:23" ht="14.25" customHeight="1" x14ac:dyDescent="0.35">
      <c r="D50" s="9" t="s">
        <v>75</v>
      </c>
      <c r="E50" s="78"/>
      <c r="F50" s="56"/>
      <c r="G50" s="32"/>
      <c r="H50" s="32"/>
      <c r="I50" s="33"/>
      <c r="J50" s="29" t="s">
        <v>39</v>
      </c>
      <c r="K50" s="17" t="s">
        <v>37</v>
      </c>
      <c r="L50" s="19">
        <v>46228</v>
      </c>
      <c r="M50" s="19">
        <v>46243</v>
      </c>
      <c r="N50" s="26">
        <v>2</v>
      </c>
      <c r="O50" s="3" t="str">
        <f>任务计划表!K50</f>
        <v xml:space="preserve"> @毛文豪(80018842)</v>
      </c>
      <c r="P50" s="11">
        <f>IF(IF(任务计划表!L50="/",人员资源情况!$A$2,L50)&gt;M50,M50,(IF(任务计划表!L50="/",人员资源情况!$A$2,L50)))</f>
        <v>46228</v>
      </c>
      <c r="Q50" s="11">
        <f>IF(M50="/",人员资源情况!$B$2,任务计划表!M50)</f>
        <v>46243</v>
      </c>
      <c r="R50" s="9">
        <f>任务计划表!N50</f>
        <v>2</v>
      </c>
      <c r="S50" s="6">
        <f>IF(O50=人员资源情况!C$2,1,0)</f>
        <v>0</v>
      </c>
      <c r="T50" s="6">
        <f>IF(P50&gt;=人员资源情况!A$2,1,0)</f>
        <v>1</v>
      </c>
      <c r="U50" s="6">
        <f>IF(Q50&lt;=人员资源情况!B$2,1,0)</f>
        <v>0</v>
      </c>
      <c r="V50" s="8">
        <f>IF(T50*U50,Q50-P50,IF(T50&gt;U50,人员资源情况!B$2-P50,IF(T50&lt;U50,任务计划表!Q50-人员资源情况!A$2,0)))*R50*S50</f>
        <v>0</v>
      </c>
      <c r="W50" s="9">
        <f t="shared" si="1"/>
        <v>0</v>
      </c>
    </row>
    <row r="51" spans="4:23" ht="14.25" customHeight="1" x14ac:dyDescent="0.35">
      <c r="E51" s="78"/>
      <c r="F51" s="45" t="s">
        <v>76</v>
      </c>
      <c r="G51" s="34"/>
      <c r="H51" s="44"/>
      <c r="I51" s="45"/>
      <c r="J51" s="29" t="s">
        <v>74</v>
      </c>
      <c r="K51" s="17" t="s">
        <v>48</v>
      </c>
      <c r="L51" s="19">
        <v>46220</v>
      </c>
      <c r="M51" s="19">
        <v>46223</v>
      </c>
      <c r="N51" s="16">
        <v>4</v>
      </c>
      <c r="O51" s="3" t="str">
        <f>任务计划表!K51</f>
        <v xml:space="preserve"> @危才文(80018808)</v>
      </c>
      <c r="P51" s="11">
        <f>IF(IF(任务计划表!L51="/",人员资源情况!$A$2,L51)&gt;M51,M51,(IF(任务计划表!L51="/",人员资源情况!$A$2,L51)))</f>
        <v>46220</v>
      </c>
      <c r="Q51" s="11">
        <f>IF(M51="/",人员资源情况!$B$2,任务计划表!M51)</f>
        <v>46223</v>
      </c>
      <c r="R51" s="9">
        <f>任务计划表!N51</f>
        <v>4</v>
      </c>
      <c r="S51" s="6">
        <f>IF(O51=人员资源情况!C$2,1,0)</f>
        <v>0</v>
      </c>
      <c r="T51" s="6">
        <f>IF(P51&gt;=人员资源情况!A$2,1,0)</f>
        <v>1</v>
      </c>
      <c r="U51" s="6">
        <f>IF(Q51&lt;=人员资源情况!B$2,1,0)</f>
        <v>1</v>
      </c>
      <c r="V51" s="8">
        <f>IF(T51*U51,Q51-P51,IF(T51&gt;U51,人员资源情况!B$2-P51,IF(T51&lt;U51,任务计划表!Q51-人员资源情况!A$2,0)))*R51*S51</f>
        <v>0</v>
      </c>
      <c r="W51" s="9">
        <f t="shared" si="1"/>
        <v>0</v>
      </c>
    </row>
    <row r="52" spans="4:23" ht="14.25" customHeight="1" x14ac:dyDescent="0.3">
      <c r="E52" s="51" t="s">
        <v>77</v>
      </c>
      <c r="F52" s="51" t="s">
        <v>78</v>
      </c>
      <c r="G52" s="34">
        <v>46206</v>
      </c>
      <c r="H52" s="44" t="s">
        <v>15</v>
      </c>
      <c r="I52" s="51" t="s">
        <v>79</v>
      </c>
      <c r="J52" s="19" t="s">
        <v>30</v>
      </c>
      <c r="K52" s="17" t="s">
        <v>25</v>
      </c>
      <c r="L52" s="19"/>
      <c r="M52" s="19"/>
      <c r="N52" s="16">
        <v>2</v>
      </c>
      <c r="O52" s="3" t="str">
        <f>任务计划表!K52</f>
        <v>@童景顺(80004217)(童景顺)</v>
      </c>
      <c r="P52" s="11">
        <f>IF(IF(任务计划表!L52="/",人员资源情况!$A$2,L52)&gt;M52,M52,(IF(任务计划表!L52="/",人员资源情况!$A$2,L52)))</f>
        <v>0</v>
      </c>
      <c r="Q52" s="11">
        <f>IF(M52="/",人员资源情况!$B$2,任务计划表!M52)</f>
        <v>0</v>
      </c>
      <c r="R52" s="9">
        <f>任务计划表!N52</f>
        <v>2</v>
      </c>
      <c r="S52" s="6">
        <f>IF(O52=人员资源情况!C$2,1,0)</f>
        <v>0</v>
      </c>
      <c r="T52" s="6">
        <f>IF(P52&gt;=人员资源情况!A$2,1,0)</f>
        <v>0</v>
      </c>
      <c r="U52" s="6">
        <f>IF(Q52&lt;=人员资源情况!B$2,1,0)</f>
        <v>1</v>
      </c>
      <c r="V52" s="8">
        <f>IF(T52*U52,Q52-P52,IF(T52&gt;U52,人员资源情况!B$2-P52,IF(T52&lt;U52,任务计划表!Q52-人员资源情况!A$2,0)))*R52*S52</f>
        <v>0</v>
      </c>
      <c r="W52" s="9">
        <f t="shared" si="1"/>
        <v>0</v>
      </c>
    </row>
    <row r="53" spans="4:23" ht="14.25" customHeight="1" x14ac:dyDescent="0.35">
      <c r="E53" s="52"/>
      <c r="F53" s="52"/>
      <c r="G53" s="15"/>
      <c r="H53" s="15"/>
      <c r="I53" s="52"/>
      <c r="J53" s="15" t="s">
        <v>80</v>
      </c>
      <c r="K53" s="17" t="s">
        <v>4</v>
      </c>
      <c r="L53" s="19">
        <v>46210</v>
      </c>
      <c r="M53" s="19">
        <v>46213</v>
      </c>
      <c r="N53" s="16">
        <v>6</v>
      </c>
      <c r="O53" s="3" t="str">
        <f>任务计划表!K53</f>
        <v xml:space="preserve"> @魏殷浩(80019157)</v>
      </c>
      <c r="P53" s="11">
        <f>IF(IF(任务计划表!L53="/",人员资源情况!$A$2,L53)&gt;M53,M53,(IF(任务计划表!L53="/",人员资源情况!$A$2,L53)))</f>
        <v>46210</v>
      </c>
      <c r="Q53" s="11">
        <f>IF(M53="/",人员资源情况!$B$2,任务计划表!M53)</f>
        <v>46213</v>
      </c>
      <c r="R53" s="9">
        <f>任务计划表!N53</f>
        <v>6</v>
      </c>
      <c r="S53" s="6">
        <f>IF(O53=人员资源情况!C$2,1,0)</f>
        <v>1</v>
      </c>
      <c r="T53" s="6">
        <f>IF(P53&gt;=人员资源情况!A$2,1,0)</f>
        <v>0</v>
      </c>
      <c r="U53" s="6">
        <f>IF(Q53&lt;=人员资源情况!B$2,1,0)</f>
        <v>1</v>
      </c>
      <c r="V53" s="8">
        <f>IF(T53*U53,Q53-P53,IF(T53&gt;U53,人员资源情况!B$2-P53,IF(T53&lt;U53,任务计划表!Q53-人员资源情况!A$2,0)))*R53*S53</f>
        <v>-42</v>
      </c>
      <c r="W53" s="9">
        <f t="shared" si="1"/>
        <v>0</v>
      </c>
    </row>
    <row r="54" spans="4:23" ht="14.25" customHeight="1" x14ac:dyDescent="0.35">
      <c r="E54" s="52"/>
      <c r="F54" s="52"/>
      <c r="G54" s="15"/>
      <c r="H54" s="15"/>
      <c r="I54" s="52"/>
      <c r="J54" s="19" t="s">
        <v>81</v>
      </c>
      <c r="K54" s="17" t="s">
        <v>4</v>
      </c>
      <c r="L54" s="19">
        <v>46223</v>
      </c>
      <c r="M54" s="19">
        <v>46234</v>
      </c>
      <c r="N54" s="16">
        <v>7</v>
      </c>
      <c r="O54" s="3" t="str">
        <f>任务计划表!K54</f>
        <v xml:space="preserve"> @魏殷浩(80019157)</v>
      </c>
      <c r="P54" s="11">
        <f>IF(IF(任务计划表!L54="/",人员资源情况!$A$2,L54)&gt;M54,M54,(IF(任务计划表!L54="/",人员资源情况!$A$2,L54)))</f>
        <v>46223</v>
      </c>
      <c r="Q54" s="11">
        <f>IF(M54="/",人员资源情况!$B$2,任务计划表!M54)</f>
        <v>46234</v>
      </c>
      <c r="R54" s="9">
        <f>任务计划表!N54</f>
        <v>7</v>
      </c>
      <c r="S54" s="6">
        <f>IF(O54=人员资源情况!C$2,1,0)</f>
        <v>1</v>
      </c>
      <c r="T54" s="6">
        <f>IF(P54&gt;=人员资源情况!A$2,1,0)</f>
        <v>1</v>
      </c>
      <c r="U54" s="6">
        <f>IF(Q54&lt;=人员资源情况!B$2,1,0)</f>
        <v>1</v>
      </c>
      <c r="V54" s="8">
        <f>IF(T54*U54,Q54-P54,IF(T54&gt;U54,人员资源情况!B$2-P54,IF(T54&lt;U54,任务计划表!Q54-人员资源情况!A$2,0)))*R54*S54</f>
        <v>77</v>
      </c>
      <c r="W54" s="9">
        <f t="shared" si="1"/>
        <v>77</v>
      </c>
    </row>
    <row r="55" spans="4:23" ht="14.25" customHeight="1" x14ac:dyDescent="0.35">
      <c r="E55" s="53"/>
      <c r="F55" s="53"/>
      <c r="G55" s="15"/>
      <c r="H55" s="15"/>
      <c r="I55" s="53"/>
      <c r="J55" s="15" t="s">
        <v>82</v>
      </c>
      <c r="K55" s="17" t="s">
        <v>83</v>
      </c>
      <c r="L55" s="19">
        <v>46210</v>
      </c>
      <c r="M55" s="19">
        <v>46213</v>
      </c>
      <c r="N55" s="16">
        <v>4</v>
      </c>
      <c r="O55" s="3" t="str">
        <f>任务计划表!K55</f>
        <v xml:space="preserve"> @姚金星(80019160)</v>
      </c>
      <c r="P55" s="11">
        <f>IF(IF(任务计划表!L55="/",人员资源情况!$A$2,L55)&gt;M55,M55,(IF(任务计划表!L55="/",人员资源情况!$A$2,L55)))</f>
        <v>46210</v>
      </c>
      <c r="Q55" s="11">
        <f>IF(M55="/",人员资源情况!$B$2,任务计划表!M55)</f>
        <v>46213</v>
      </c>
      <c r="R55" s="9">
        <f>任务计划表!N55</f>
        <v>4</v>
      </c>
      <c r="S55" s="6">
        <f>IF(O55=人员资源情况!C$2,1,0)</f>
        <v>0</v>
      </c>
      <c r="T55" s="6">
        <f>IF(P55&gt;=人员资源情况!A$2,1,0)</f>
        <v>0</v>
      </c>
      <c r="U55" s="6">
        <f>IF(Q55&lt;=人员资源情况!B$2,1,0)</f>
        <v>1</v>
      </c>
      <c r="V55" s="8">
        <f>IF(T55*U55,Q55-P55,IF(T55&gt;U55,人员资源情况!B$2-P55,IF(T55&lt;U55,任务计划表!Q55-人员资源情况!A$2,0)))*R55*S55</f>
        <v>0</v>
      </c>
      <c r="W55" s="9">
        <f t="shared" si="1"/>
        <v>0</v>
      </c>
    </row>
    <row r="56" spans="4:23" ht="14.25" customHeight="1" x14ac:dyDescent="0.35">
      <c r="E56" s="54" t="s">
        <v>84</v>
      </c>
      <c r="F56" s="54" t="s">
        <v>85</v>
      </c>
      <c r="G56" s="15"/>
      <c r="H56" s="15"/>
      <c r="I56" s="57" t="s">
        <v>86</v>
      </c>
      <c r="J56" s="19" t="s">
        <v>32</v>
      </c>
      <c r="K56" s="17" t="s">
        <v>48</v>
      </c>
      <c r="L56" s="19">
        <v>46223</v>
      </c>
      <c r="M56" s="19">
        <v>46238</v>
      </c>
      <c r="N56" s="16">
        <v>6</v>
      </c>
      <c r="O56" s="3" t="str">
        <f>任务计划表!K56</f>
        <v xml:space="preserve"> @危才文(80018808)</v>
      </c>
      <c r="P56" s="11">
        <f>IF(IF(任务计划表!L56="/",人员资源情况!$A$2,L56)&gt;M56,M56,(IF(任务计划表!L56="/",人员资源情况!$A$2,L56)))</f>
        <v>46223</v>
      </c>
      <c r="Q56" s="11">
        <f>IF(M56="/",人员资源情况!$B$2,任务计划表!M56)</f>
        <v>46238</v>
      </c>
      <c r="R56" s="9">
        <f>任务计划表!N56</f>
        <v>6</v>
      </c>
      <c r="S56" s="6">
        <f>IF(O56=人员资源情况!C$2,1,0)</f>
        <v>0</v>
      </c>
      <c r="T56" s="6">
        <f>IF(P56&gt;=人员资源情况!A$2,1,0)</f>
        <v>1</v>
      </c>
      <c r="U56" s="6">
        <f>IF(Q56&lt;=人员资源情况!B$2,1,0)</f>
        <v>0</v>
      </c>
      <c r="V56" s="8">
        <f>IF(T56*U56,Q56-P56,IF(T56&gt;U56,人员资源情况!B$2-P56,IF(T56&lt;U56,任务计划表!Q56-人员资源情况!A$2,0)))*R56*S56</f>
        <v>0</v>
      </c>
      <c r="W56" s="9">
        <f t="shared" si="1"/>
        <v>0</v>
      </c>
    </row>
    <row r="57" spans="4:23" ht="14.25" customHeight="1" x14ac:dyDescent="0.35">
      <c r="E57" s="55"/>
      <c r="F57" s="55"/>
      <c r="G57" s="15"/>
      <c r="H57" s="15"/>
      <c r="I57" s="58"/>
      <c r="J57" s="19" t="s">
        <v>87</v>
      </c>
      <c r="K57" s="17" t="s">
        <v>48</v>
      </c>
      <c r="L57" s="19">
        <v>46239</v>
      </c>
      <c r="M57" s="19">
        <v>46249</v>
      </c>
      <c r="N57" s="26">
        <v>2</v>
      </c>
      <c r="O57" s="3" t="str">
        <f>任务计划表!K57</f>
        <v xml:space="preserve"> @危才文(80018808)</v>
      </c>
      <c r="P57" s="11">
        <f>IF(IF(任务计划表!L57="/",人员资源情况!$A$2,L57)&gt;M57,M57,(IF(任务计划表!L57="/",人员资源情况!$A$2,L57)))</f>
        <v>46239</v>
      </c>
      <c r="Q57" s="11">
        <f>IF(M57="/",人员资源情况!$B$2,任务计划表!M57)</f>
        <v>46249</v>
      </c>
      <c r="R57" s="9">
        <f>任务计划表!N57</f>
        <v>2</v>
      </c>
      <c r="S57" s="6">
        <f>IF(O57=人员资源情况!C$2,1,0)</f>
        <v>0</v>
      </c>
      <c r="T57" s="6">
        <f>IF(P57&gt;=人员资源情况!A$2,1,0)</f>
        <v>1</v>
      </c>
      <c r="U57" s="6">
        <f>IF(Q57&lt;=人员资源情况!B$2,1,0)</f>
        <v>0</v>
      </c>
      <c r="V57" s="8">
        <f>IF(T57*U57,Q57-P57,IF(T57&gt;U57,人员资源情况!B$2-P57,IF(T57&lt;U57,任务计划表!Q57-人员资源情况!A$2,0)))*R57*S57</f>
        <v>0</v>
      </c>
      <c r="W57" s="9">
        <f t="shared" si="1"/>
        <v>0</v>
      </c>
    </row>
    <row r="58" spans="4:23" ht="14.25" customHeight="1" x14ac:dyDescent="0.35">
      <c r="E58" s="55"/>
      <c r="F58" s="55"/>
      <c r="G58" s="15"/>
      <c r="H58" s="15"/>
      <c r="I58" s="59"/>
      <c r="J58" s="19" t="s">
        <v>88</v>
      </c>
      <c r="K58" s="17" t="s">
        <v>48</v>
      </c>
      <c r="L58" s="19">
        <v>46250</v>
      </c>
      <c r="M58" s="19">
        <v>46280</v>
      </c>
      <c r="N58" s="26">
        <v>1</v>
      </c>
      <c r="O58" s="3" t="str">
        <f>任务计划表!K58</f>
        <v xml:space="preserve"> @危才文(80018808)</v>
      </c>
      <c r="P58" s="11">
        <f>IF(IF(任务计划表!L58="/",人员资源情况!$A$2,L58)&gt;M58,M58,(IF(任务计划表!L58="/",人员资源情况!$A$2,L58)))</f>
        <v>46250</v>
      </c>
      <c r="Q58" s="11">
        <f>IF(M58="/",人员资源情况!$B$2,任务计划表!M58)</f>
        <v>46280</v>
      </c>
      <c r="R58" s="9">
        <f>任务计划表!N58</f>
        <v>1</v>
      </c>
      <c r="S58" s="6">
        <f>IF(O58=人员资源情况!C$2,1,0)</f>
        <v>0</v>
      </c>
      <c r="T58" s="6">
        <f>IF(P58&gt;=人员资源情况!A$2,1,0)</f>
        <v>1</v>
      </c>
      <c r="U58" s="6">
        <f>IF(Q58&lt;=人员资源情况!B$2,1,0)</f>
        <v>0</v>
      </c>
      <c r="V58" s="8">
        <f>IF(T58*U58,Q58-P58,IF(T58&gt;U58,人员资源情况!B$2-P58,IF(T58&lt;U58,任务计划表!Q58-人员资源情况!A$2,0)))*R58*S58</f>
        <v>0</v>
      </c>
      <c r="W58" s="9">
        <f t="shared" si="1"/>
        <v>0</v>
      </c>
    </row>
    <row r="59" spans="4:23" ht="14.25" customHeight="1" x14ac:dyDescent="0.3">
      <c r="E59" s="55"/>
      <c r="F59" s="55"/>
      <c r="G59" s="15"/>
      <c r="H59" s="15"/>
      <c r="I59" s="16"/>
      <c r="J59" s="21" t="s">
        <v>89</v>
      </c>
      <c r="K59" s="17" t="s">
        <v>25</v>
      </c>
      <c r="L59" s="19"/>
      <c r="M59" s="19"/>
      <c r="N59" s="26">
        <v>7</v>
      </c>
      <c r="O59" s="3" t="str">
        <f>任务计划表!K59</f>
        <v>@童景顺(80004217)(童景顺)</v>
      </c>
      <c r="P59" s="11">
        <f>IF(IF(任务计划表!L59="/",人员资源情况!$A$2,L59)&gt;M59,M59,(IF(任务计划表!L59="/",人员资源情况!$A$2,L59)))</f>
        <v>0</v>
      </c>
      <c r="Q59" s="11">
        <f>IF(M59="/",人员资源情况!$B$2,任务计划表!M59)</f>
        <v>0</v>
      </c>
      <c r="R59" s="9">
        <f>任务计划表!N59</f>
        <v>7</v>
      </c>
      <c r="S59" s="6">
        <f>IF(O59=人员资源情况!C$2,1,0)</f>
        <v>0</v>
      </c>
      <c r="T59" s="6">
        <f>IF(P59&gt;=人员资源情况!A$2,1,0)</f>
        <v>0</v>
      </c>
      <c r="U59" s="6">
        <f>IF(Q59&lt;=人员资源情况!B$2,1,0)</f>
        <v>1</v>
      </c>
      <c r="V59" s="8">
        <f>IF(T59*U59,Q59-P59,IF(T59&gt;U59,人员资源情况!B$2-P59,IF(T59&lt;U59,任务计划表!Q59-人员资源情况!A$2,0)))*R59*S59</f>
        <v>0</v>
      </c>
      <c r="W59" s="9">
        <f t="shared" si="1"/>
        <v>0</v>
      </c>
    </row>
    <row r="60" spans="4:23" ht="14.25" customHeight="1" x14ac:dyDescent="0.35">
      <c r="E60" s="55"/>
      <c r="F60" s="55"/>
      <c r="G60" s="15"/>
      <c r="H60" s="15"/>
      <c r="I60" s="16"/>
      <c r="J60" s="35" t="s">
        <v>90</v>
      </c>
      <c r="K60" s="17" t="s">
        <v>83</v>
      </c>
      <c r="L60" s="19"/>
      <c r="M60" s="19"/>
      <c r="N60" s="26">
        <v>7</v>
      </c>
      <c r="O60" s="3" t="str">
        <f>任务计划表!K60</f>
        <v xml:space="preserve"> @姚金星(80019160)</v>
      </c>
      <c r="P60" s="11">
        <f>IF(IF(任务计划表!L60="/",人员资源情况!$A$2,L60)&gt;M60,M60,(IF(任务计划表!L60="/",人员资源情况!$A$2,L60)))</f>
        <v>0</v>
      </c>
      <c r="Q60" s="11">
        <f>IF(M60="/",人员资源情况!$B$2,任务计划表!M60)</f>
        <v>0</v>
      </c>
      <c r="R60" s="9">
        <f>任务计划表!N60</f>
        <v>7</v>
      </c>
      <c r="S60" s="6">
        <f>IF(O60=人员资源情况!C$2,1,0)</f>
        <v>0</v>
      </c>
      <c r="T60" s="6">
        <f>IF(P60&gt;=人员资源情况!A$2,1,0)</f>
        <v>0</v>
      </c>
      <c r="U60" s="6">
        <f>IF(Q60&lt;=人员资源情况!B$2,1,0)</f>
        <v>1</v>
      </c>
      <c r="V60" s="8">
        <f>IF(T60*U60,Q60-P60,IF(T60&gt;U60,人员资源情况!B$2-P60,IF(T60&lt;U60,任务计划表!Q60-人员资源情况!A$2,0)))*R60*S60</f>
        <v>0</v>
      </c>
      <c r="W60" s="9">
        <f t="shared" si="1"/>
        <v>0</v>
      </c>
    </row>
    <row r="61" spans="4:23" ht="14.25" customHeight="1" x14ac:dyDescent="0.35">
      <c r="E61" s="56"/>
      <c r="F61" s="56"/>
      <c r="G61" s="15"/>
      <c r="H61" s="15"/>
      <c r="I61" s="16"/>
      <c r="J61" s="35" t="s">
        <v>90</v>
      </c>
      <c r="K61" s="28" t="s">
        <v>52</v>
      </c>
      <c r="L61" s="19"/>
      <c r="M61" s="19"/>
      <c r="N61" s="26"/>
      <c r="O61" s="3" t="str">
        <f>任务计划表!K61</f>
        <v xml:space="preserve"> @舒杰(80018942)</v>
      </c>
      <c r="P61" s="11">
        <f>IF(IF(任务计划表!L61="/",人员资源情况!$A$2,L61)&gt;M61,M61,(IF(任务计划表!L61="/",人员资源情况!$A$2,L61)))</f>
        <v>0</v>
      </c>
      <c r="Q61" s="11">
        <f>IF(M61="/",人员资源情况!$B$2,任务计划表!M61)</f>
        <v>0</v>
      </c>
      <c r="R61" s="9">
        <f>任务计划表!N61</f>
        <v>0</v>
      </c>
      <c r="S61" s="6">
        <f>IF(O61=人员资源情况!C$2,1,0)</f>
        <v>0</v>
      </c>
      <c r="T61" s="6">
        <f>IF(P61&gt;=人员资源情况!A$2,1,0)</f>
        <v>0</v>
      </c>
      <c r="U61" s="6">
        <f>IF(Q61&lt;=人员资源情况!B$2,1,0)</f>
        <v>1</v>
      </c>
      <c r="V61" s="8">
        <f>IF(T61*U61,Q61-P61,IF(T61&gt;U61,人员资源情况!B$2-P61,IF(T61&lt;U61,任务计划表!Q61-人员资源情况!A$2,0)))*R61*S61</f>
        <v>0</v>
      </c>
      <c r="W61" s="9">
        <f t="shared" si="1"/>
        <v>0</v>
      </c>
    </row>
    <row r="62" spans="4:23" ht="14.25" customHeight="1" x14ac:dyDescent="0.35">
      <c r="E62" s="54" t="s">
        <v>91</v>
      </c>
      <c r="F62" s="54" t="s">
        <v>92</v>
      </c>
      <c r="G62" s="15"/>
      <c r="H62" s="15"/>
      <c r="I62" s="54" t="s">
        <v>93</v>
      </c>
      <c r="J62" s="19" t="s">
        <v>17</v>
      </c>
      <c r="K62" s="17" t="s">
        <v>18</v>
      </c>
      <c r="L62" s="19">
        <v>46264</v>
      </c>
      <c r="M62" s="19">
        <v>46303</v>
      </c>
      <c r="N62" s="26">
        <v>0.5</v>
      </c>
      <c r="O62" s="3" t="str">
        <f>任务计划表!K62</f>
        <v xml:space="preserve"> @项家祺(80004213)(项家祺)</v>
      </c>
      <c r="P62" s="11">
        <f>IF(IF(任务计划表!L62="/",人员资源情况!$A$2,L62)&gt;M62,M62,(IF(任务计划表!L62="/",人员资源情况!$A$2,L62)))</f>
        <v>46264</v>
      </c>
      <c r="Q62" s="11">
        <f>IF(M62="/",人员资源情况!$B$2,任务计划表!M62)</f>
        <v>46303</v>
      </c>
      <c r="R62" s="9">
        <f>任务计划表!N62</f>
        <v>0.5</v>
      </c>
      <c r="S62" s="6">
        <f>IF(O62=人员资源情况!C$2,1,0)</f>
        <v>0</v>
      </c>
      <c r="T62" s="6">
        <f>IF(P62&gt;=人员资源情况!A$2,1,0)</f>
        <v>1</v>
      </c>
      <c r="U62" s="6">
        <f>IF(Q62&lt;=人员资源情况!B$2,1,0)</f>
        <v>0</v>
      </c>
      <c r="V62" s="8">
        <f>IF(T62*U62,Q62-P62,IF(T62&gt;U62,人员资源情况!B$2-P62,IF(T62&lt;U62,任务计划表!Q62-人员资源情况!A$2,0)))*R62*S62</f>
        <v>0</v>
      </c>
      <c r="W62" s="9">
        <f t="shared" si="1"/>
        <v>0</v>
      </c>
    </row>
    <row r="63" spans="4:23" ht="14.25" customHeight="1" x14ac:dyDescent="0.35">
      <c r="E63" s="56"/>
      <c r="F63" s="56"/>
      <c r="G63" s="43"/>
      <c r="H63" s="43"/>
      <c r="I63" s="56"/>
      <c r="J63" s="27" t="s">
        <v>94</v>
      </c>
      <c r="K63" s="17" t="s">
        <v>21</v>
      </c>
      <c r="L63" s="27">
        <v>46264</v>
      </c>
      <c r="M63" s="27">
        <v>46303</v>
      </c>
      <c r="N63" s="41">
        <v>0.5</v>
      </c>
      <c r="O63" s="3" t="str">
        <f>任务计划表!K63</f>
        <v xml:space="preserve"> @袁琮欣(80015786)(袁琮欣)</v>
      </c>
      <c r="P63" s="11">
        <f>IF(IF(任务计划表!L63="/",人员资源情况!$A$2,L63)&gt;M63,M63,(IF(任务计划表!L63="/",人员资源情况!$A$2,L63)))</f>
        <v>46264</v>
      </c>
      <c r="Q63" s="11">
        <f>IF(M63="/",人员资源情况!$B$2,任务计划表!M63)</f>
        <v>46303</v>
      </c>
      <c r="R63" s="9">
        <f>任务计划表!N63</f>
        <v>0.5</v>
      </c>
      <c r="S63" s="6">
        <f>IF(O63=人员资源情况!C$2,1,0)</f>
        <v>0</v>
      </c>
      <c r="T63" s="6">
        <f>IF(P63&gt;=人员资源情况!A$2,1,0)</f>
        <v>1</v>
      </c>
      <c r="U63" s="6">
        <f>IF(Q63&lt;=人员资源情况!B$2,1,0)</f>
        <v>0</v>
      </c>
      <c r="V63" s="8">
        <f>IF(T63*U63,Q63-P63,IF(T63&gt;U63,人员资源情况!B$2-P63,IF(T63&lt;U63,任务计划表!Q63-人员资源情况!A$2,0)))*R63*S63</f>
        <v>0</v>
      </c>
      <c r="W63" s="9">
        <f t="shared" si="1"/>
        <v>0</v>
      </c>
    </row>
    <row r="64" spans="4:23" ht="14.25" customHeight="1" x14ac:dyDescent="0.35">
      <c r="E64" s="72" t="s">
        <v>95</v>
      </c>
      <c r="F64" s="51" t="s">
        <v>96</v>
      </c>
      <c r="G64" s="15"/>
      <c r="H64" s="15"/>
      <c r="I64" s="66"/>
      <c r="J64" s="19" t="s">
        <v>30</v>
      </c>
      <c r="K64" s="17" t="s">
        <v>83</v>
      </c>
      <c r="L64" s="19">
        <v>46213</v>
      </c>
      <c r="M64" s="19">
        <v>46223</v>
      </c>
      <c r="N64" s="26">
        <v>8</v>
      </c>
      <c r="O64" s="3" t="str">
        <f>任务计划表!K64</f>
        <v xml:space="preserve"> @姚金星(80019160)</v>
      </c>
      <c r="P64" s="11">
        <f>IF(IF(任务计划表!L64="/",人员资源情况!$A$2,L64)&gt;M64,M64,(IF(任务计划表!L64="/",人员资源情况!$A$2,L64)))</f>
        <v>46213</v>
      </c>
      <c r="Q64" s="11">
        <f>IF(M64="/",人员资源情况!$B$2,任务计划表!M64)</f>
        <v>46223</v>
      </c>
      <c r="R64" s="9">
        <f>任务计划表!N64</f>
        <v>8</v>
      </c>
      <c r="S64" s="6">
        <f>IF(O64=人员资源情况!C$2,1,0)</f>
        <v>0</v>
      </c>
      <c r="T64" s="6">
        <f>IF(P64&gt;=人员资源情况!A$2,1,0)</f>
        <v>0</v>
      </c>
      <c r="U64" s="6">
        <f>IF(Q64&lt;=人员资源情况!B$2,1,0)</f>
        <v>1</v>
      </c>
      <c r="V64" s="8">
        <f>IF(T64*U64,Q64-P64,IF(T64&gt;U64,人员资源情况!B$2-P64,IF(T64&lt;U64,任务计划表!Q64-人员资源情况!A$2,0)))*R64*S64</f>
        <v>0</v>
      </c>
      <c r="W64" s="9">
        <f t="shared" si="1"/>
        <v>0</v>
      </c>
    </row>
    <row r="65" spans="5:23" ht="14.25" customHeight="1" x14ac:dyDescent="0.35">
      <c r="E65" s="73"/>
      <c r="F65" s="52"/>
      <c r="G65" s="15"/>
      <c r="H65" s="15"/>
      <c r="I65" s="67"/>
      <c r="J65" s="19" t="s">
        <v>30</v>
      </c>
      <c r="K65" s="28" t="s">
        <v>52</v>
      </c>
      <c r="L65" s="19">
        <v>46213</v>
      </c>
      <c r="M65" s="19">
        <v>46223</v>
      </c>
      <c r="N65" s="26">
        <v>8</v>
      </c>
      <c r="O65" s="3" t="str">
        <f>任务计划表!K65</f>
        <v xml:space="preserve"> @舒杰(80018942)</v>
      </c>
      <c r="P65" s="11">
        <f>IF(IF(任务计划表!L65="/",人员资源情况!$A$2,L65)&gt;M65,M65,(IF(任务计划表!L65="/",人员资源情况!$A$2,L65)))</f>
        <v>46213</v>
      </c>
      <c r="Q65" s="11">
        <f>IF(M65="/",人员资源情况!$B$2,任务计划表!M65)</f>
        <v>46223</v>
      </c>
      <c r="R65" s="9">
        <f>任务计划表!N65</f>
        <v>8</v>
      </c>
      <c r="S65" s="6">
        <f>IF(O65=人员资源情况!C$2,1,0)</f>
        <v>0</v>
      </c>
      <c r="T65" s="6">
        <f>IF(P65&gt;=人员资源情况!A$2,1,0)</f>
        <v>0</v>
      </c>
      <c r="U65" s="6">
        <f>IF(Q65&lt;=人员资源情况!B$2,1,0)</f>
        <v>1</v>
      </c>
      <c r="V65" s="8">
        <f>IF(T65*U65,Q65-P65,IF(T65&gt;U65,人员资源情况!B$2-P65,IF(T65&lt;U65,任务计划表!Q65-人员资源情况!A$2,0)))*R65*S65</f>
        <v>0</v>
      </c>
      <c r="W65" s="9">
        <f t="shared" si="1"/>
        <v>0</v>
      </c>
    </row>
    <row r="66" spans="5:23" ht="14.25" customHeight="1" x14ac:dyDescent="0.35">
      <c r="E66" s="73"/>
      <c r="F66" s="52"/>
      <c r="G66" s="15"/>
      <c r="H66" s="15"/>
      <c r="I66" s="67"/>
      <c r="J66" s="19" t="s">
        <v>20</v>
      </c>
      <c r="K66" s="17" t="s">
        <v>4</v>
      </c>
      <c r="L66" s="19">
        <v>46213</v>
      </c>
      <c r="M66" s="19">
        <v>46223</v>
      </c>
      <c r="N66" s="26">
        <v>8</v>
      </c>
      <c r="O66" s="3" t="str">
        <f>任务计划表!K66</f>
        <v xml:space="preserve"> @魏殷浩(80019157)</v>
      </c>
      <c r="P66" s="11">
        <f>IF(IF(任务计划表!L66="/",人员资源情况!$A$2,L66)&gt;M66,M66,(IF(任务计划表!L66="/",人员资源情况!$A$2,L66)))</f>
        <v>46213</v>
      </c>
      <c r="Q66" s="11">
        <f>IF(M66="/",人员资源情况!$B$2,任务计划表!M66)</f>
        <v>46223</v>
      </c>
      <c r="R66" s="9">
        <f>任务计划表!N66</f>
        <v>8</v>
      </c>
      <c r="S66" s="6">
        <f>IF(O66=人员资源情况!C$2,1,0)</f>
        <v>1</v>
      </c>
      <c r="T66" s="6">
        <f>IF(P66&gt;=人员资源情况!A$2,1,0)</f>
        <v>0</v>
      </c>
      <c r="U66" s="6">
        <f>IF(Q66&lt;=人员资源情况!B$2,1,0)</f>
        <v>1</v>
      </c>
      <c r="V66" s="8">
        <f>IF(T66*U66,Q66-P66,IF(T66&gt;U66,人员资源情况!B$2-P66,IF(T66&lt;U66,任务计划表!Q66-人员资源情况!A$2,0)))*R66*S66</f>
        <v>24</v>
      </c>
      <c r="W66" s="9">
        <f t="shared" si="1"/>
        <v>24</v>
      </c>
    </row>
    <row r="67" spans="5:23" ht="14.25" customHeight="1" x14ac:dyDescent="0.35">
      <c r="E67" s="73"/>
      <c r="F67" s="53"/>
      <c r="G67" s="15"/>
      <c r="H67" s="15"/>
      <c r="I67" s="68"/>
      <c r="J67" s="19" t="s">
        <v>20</v>
      </c>
      <c r="K67" s="17" t="s">
        <v>28</v>
      </c>
      <c r="L67" s="15">
        <v>46213</v>
      </c>
      <c r="M67" s="19">
        <v>46223</v>
      </c>
      <c r="N67" s="26">
        <v>8</v>
      </c>
      <c r="O67" s="3" t="str">
        <f>任务计划表!K67</f>
        <v xml:space="preserve"> @张国庆(80019159)</v>
      </c>
      <c r="P67" s="11">
        <f>IF(IF(任务计划表!L67="/",人员资源情况!$A$2,L67)&gt;M67,M67,(IF(任务计划表!L67="/",人员资源情况!$A$2,L67)))</f>
        <v>46213</v>
      </c>
      <c r="Q67" s="11">
        <f>IF(M67="/",人员资源情况!$B$2,任务计划表!M67)</f>
        <v>46223</v>
      </c>
      <c r="R67" s="9">
        <f>任务计划表!N67</f>
        <v>8</v>
      </c>
      <c r="S67" s="6">
        <f>IF(O67=人员资源情况!C$2,1,0)</f>
        <v>0</v>
      </c>
      <c r="T67" s="6">
        <f>IF(P67&gt;=人员资源情况!A$2,1,0)</f>
        <v>0</v>
      </c>
      <c r="U67" s="6">
        <f>IF(Q67&lt;=人员资源情况!B$2,1,0)</f>
        <v>1</v>
      </c>
      <c r="V67" s="8">
        <f>IF(T67*U67,Q67-P67,IF(T67&gt;U67,人员资源情况!B$2-P67,IF(T67&lt;U67,任务计划表!Q67-人员资源情况!A$2,0)))*R67*S67</f>
        <v>0</v>
      </c>
      <c r="W67" s="9">
        <f t="shared" si="1"/>
        <v>0</v>
      </c>
    </row>
    <row r="68" spans="5:23" ht="14.25" customHeight="1" x14ac:dyDescent="0.3">
      <c r="E68" s="73"/>
      <c r="F68" s="51" t="s">
        <v>97</v>
      </c>
      <c r="G68" s="36"/>
      <c r="H68" s="15"/>
      <c r="I68" s="66"/>
      <c r="J68" s="19" t="s">
        <v>98</v>
      </c>
      <c r="K68" s="17" t="s">
        <v>25</v>
      </c>
      <c r="L68" s="15" t="s">
        <v>15</v>
      </c>
      <c r="M68" s="15" t="s">
        <v>15</v>
      </c>
      <c r="N68" s="16">
        <v>1</v>
      </c>
      <c r="O68" s="3" t="str">
        <f>任务计划表!K68</f>
        <v>@童景顺(80004217)(童景顺)</v>
      </c>
      <c r="P68" s="11">
        <f>IF(IF(任务计划表!L68="/",人员资源情况!$A$2,L68)&gt;M68,M68,(IF(任务计划表!L68="/",人员资源情况!$A$2,L68)))</f>
        <v>46220</v>
      </c>
      <c r="Q68" s="11">
        <f>IF(M68="/",人员资源情况!$B$2,任务计划表!M68)</f>
        <v>46234</v>
      </c>
      <c r="R68" s="9">
        <f>任务计划表!N68</f>
        <v>1</v>
      </c>
      <c r="S68" s="6">
        <f>IF(O68=人员资源情况!C$2,1,0)</f>
        <v>0</v>
      </c>
      <c r="T68" s="6">
        <f>IF(P68&gt;=人员资源情况!A$2,1,0)</f>
        <v>1</v>
      </c>
      <c r="U68" s="6">
        <f>IF(Q68&lt;=人员资源情况!B$2,1,0)</f>
        <v>1</v>
      </c>
      <c r="V68" s="8">
        <f>IF(T68*U68,Q68-P68,IF(T68&gt;U68,人员资源情况!B$2-P68,IF(T68&lt;U68,任务计划表!Q68-人员资源情况!A$2,0)))*R68*S68</f>
        <v>0</v>
      </c>
      <c r="W68" s="9">
        <f t="shared" ref="W68:W75" si="2">IF(V68&lt;0,0,V68)</f>
        <v>0</v>
      </c>
    </row>
    <row r="69" spans="5:23" ht="14.25" customHeight="1" x14ac:dyDescent="0.35">
      <c r="E69" s="73"/>
      <c r="F69" s="52"/>
      <c r="G69" s="37"/>
      <c r="H69" s="37"/>
      <c r="I69" s="67"/>
      <c r="J69" s="19" t="s">
        <v>99</v>
      </c>
      <c r="K69" s="17" t="s">
        <v>83</v>
      </c>
      <c r="L69" s="19">
        <v>46223</v>
      </c>
      <c r="M69" s="19">
        <v>46244</v>
      </c>
      <c r="N69" s="16">
        <v>2</v>
      </c>
      <c r="O69" s="3" t="str">
        <f>任务计划表!K69</f>
        <v xml:space="preserve"> @姚金星(80019160)</v>
      </c>
      <c r="P69" s="11">
        <f>IF(IF(任务计划表!L69="/",人员资源情况!$A$2,L69)&gt;M69,M69,(IF(任务计划表!L69="/",人员资源情况!$A$2,L69)))</f>
        <v>46223</v>
      </c>
      <c r="Q69" s="11">
        <f>IF(M69="/",人员资源情况!$B$2,任务计划表!M69)</f>
        <v>46244</v>
      </c>
      <c r="R69" s="9">
        <f>任务计划表!N69</f>
        <v>2</v>
      </c>
      <c r="S69" s="6">
        <f>IF(O69=人员资源情况!C$2,1,0)</f>
        <v>0</v>
      </c>
      <c r="T69" s="6">
        <f>IF(P69&gt;=人员资源情况!A$2,1,0)</f>
        <v>1</v>
      </c>
      <c r="U69" s="6">
        <f>IF(Q69&lt;=人员资源情况!B$2,1,0)</f>
        <v>0</v>
      </c>
      <c r="V69" s="8">
        <f>IF(T69*U69,Q69-P69,IF(T69&gt;U69,人员资源情况!B$2-P69,IF(T69&lt;U69,任务计划表!Q69-人员资源情况!A$2,0)))*R69*S69</f>
        <v>0</v>
      </c>
      <c r="W69" s="9">
        <f t="shared" si="2"/>
        <v>0</v>
      </c>
    </row>
    <row r="70" spans="5:23" ht="14.25" customHeight="1" x14ac:dyDescent="0.35">
      <c r="E70" s="73"/>
      <c r="F70" s="52"/>
      <c r="G70" s="15"/>
      <c r="H70" s="15"/>
      <c r="I70" s="68"/>
      <c r="J70" s="19" t="s">
        <v>99</v>
      </c>
      <c r="K70" s="28" t="s">
        <v>52</v>
      </c>
      <c r="L70" s="19">
        <v>46223</v>
      </c>
      <c r="M70" s="19">
        <v>46244</v>
      </c>
      <c r="N70" s="16">
        <v>2</v>
      </c>
      <c r="O70" s="3" t="str">
        <f>任务计划表!K70</f>
        <v xml:space="preserve"> @舒杰(80018942)</v>
      </c>
      <c r="P70" s="11">
        <f>IF(IF(任务计划表!L70="/",人员资源情况!$A$2,L70)&gt;M70,M70,(IF(任务计划表!L70="/",人员资源情况!$A$2,L70)))</f>
        <v>46223</v>
      </c>
      <c r="Q70" s="11">
        <f>IF(M70="/",人员资源情况!$B$2,任务计划表!M70)</f>
        <v>46244</v>
      </c>
      <c r="R70" s="9">
        <f>任务计划表!N70</f>
        <v>2</v>
      </c>
      <c r="S70" s="6">
        <f>IF(O70=人员资源情况!C$2,1,0)</f>
        <v>0</v>
      </c>
      <c r="T70" s="6">
        <f>IF(P70&gt;=人员资源情况!A$2,1,0)</f>
        <v>1</v>
      </c>
      <c r="U70" s="6">
        <f>IF(Q70&lt;=人员资源情况!B$2,1,0)</f>
        <v>0</v>
      </c>
      <c r="V70" s="8">
        <f>IF(T70*U70,Q70-P70,IF(T70&gt;U70,人员资源情况!B$2-P70,IF(T70&lt;U70,任务计划表!Q70-人员资源情况!A$2,0)))*R70*S70</f>
        <v>0</v>
      </c>
      <c r="W70" s="9">
        <f t="shared" si="2"/>
        <v>0</v>
      </c>
    </row>
    <row r="71" spans="5:23" ht="14.25" customHeight="1" x14ac:dyDescent="0.35">
      <c r="E71" s="73"/>
      <c r="F71" s="52"/>
      <c r="G71" s="43"/>
      <c r="H71" s="43"/>
      <c r="I71" s="43"/>
      <c r="J71" s="43" t="s">
        <v>100</v>
      </c>
      <c r="K71" s="17" t="s">
        <v>4</v>
      </c>
      <c r="L71" s="19">
        <v>46223</v>
      </c>
      <c r="M71" s="27">
        <v>46244</v>
      </c>
      <c r="N71" s="16">
        <v>1</v>
      </c>
      <c r="O71" s="3" t="str">
        <f>任务计划表!K71</f>
        <v xml:space="preserve"> @魏殷浩(80019157)</v>
      </c>
      <c r="P71" s="11">
        <f>IF(IF(任务计划表!L71="/",人员资源情况!$A$2,L71)&gt;M71,M71,(IF(任务计划表!L71="/",人员资源情况!$A$2,L71)))</f>
        <v>46223</v>
      </c>
      <c r="Q71" s="11">
        <f>IF(M71="/",人员资源情况!$B$2,任务计划表!M71)</f>
        <v>46244</v>
      </c>
      <c r="R71" s="9">
        <f>任务计划表!N71</f>
        <v>1</v>
      </c>
      <c r="S71" s="6">
        <f>IF(O71=人员资源情况!C$2,1,0)</f>
        <v>1</v>
      </c>
      <c r="T71" s="6">
        <f>IF(P71&gt;=人员资源情况!A$2,1,0)</f>
        <v>1</v>
      </c>
      <c r="U71" s="6">
        <f>IF(Q71&lt;=人员资源情况!B$2,1,0)</f>
        <v>0</v>
      </c>
      <c r="V71" s="8">
        <f>IF(T71*U71,Q71-P71,IF(T71&gt;U71,人员资源情况!B$2-P71,IF(T71&lt;U71,任务计划表!Q71-人员资源情况!A$2,0)))*R71*S71</f>
        <v>11</v>
      </c>
      <c r="W71" s="9">
        <f t="shared" si="2"/>
        <v>11</v>
      </c>
    </row>
    <row r="72" spans="5:23" ht="14.25" customHeight="1" x14ac:dyDescent="0.35">
      <c r="E72" s="74"/>
      <c r="F72" s="53"/>
      <c r="G72" s="43"/>
      <c r="H72" s="43"/>
      <c r="I72" s="43"/>
      <c r="J72" s="43" t="s">
        <v>100</v>
      </c>
      <c r="K72" s="17" t="s">
        <v>28</v>
      </c>
      <c r="L72" s="38">
        <v>46223</v>
      </c>
      <c r="M72" s="27">
        <v>46244</v>
      </c>
      <c r="N72" s="31">
        <v>1</v>
      </c>
      <c r="O72" s="3" t="str">
        <f>任务计划表!K72</f>
        <v xml:space="preserve"> @张国庆(80019159)</v>
      </c>
      <c r="P72" s="11">
        <f>IF(IF(任务计划表!L72="/",人员资源情况!$A$2,L72)&gt;M72,M72,(IF(任务计划表!L72="/",人员资源情况!$A$2,L72)))</f>
        <v>46223</v>
      </c>
      <c r="Q72" s="11">
        <f>IF(M72="/",人员资源情况!$B$2,任务计划表!M72)</f>
        <v>46244</v>
      </c>
      <c r="R72" s="9">
        <f>任务计划表!N72</f>
        <v>1</v>
      </c>
      <c r="S72" s="6">
        <f>IF(O72=人员资源情况!C$2,1,0)</f>
        <v>0</v>
      </c>
      <c r="T72" s="6">
        <f>IF(P72&gt;=人员资源情况!A$2,1,0)</f>
        <v>1</v>
      </c>
      <c r="U72" s="6">
        <f>IF(Q72&lt;=人员资源情况!B$2,1,0)</f>
        <v>0</v>
      </c>
      <c r="V72" s="8">
        <f>IF(T72*U72,Q72-P72,IF(T72&gt;U72,人员资源情况!B$2-P72,IF(T72&lt;U72,任务计划表!Q72-人员资源情况!A$2,0)))*R72*S72</f>
        <v>0</v>
      </c>
      <c r="W72" s="9">
        <f t="shared" si="2"/>
        <v>0</v>
      </c>
    </row>
    <row r="73" spans="5:23" ht="14.25" customHeight="1" x14ac:dyDescent="0.35">
      <c r="E73" s="76" t="s">
        <v>97</v>
      </c>
      <c r="F73" s="15" t="s">
        <v>101</v>
      </c>
      <c r="G73" s="15"/>
      <c r="H73" s="15"/>
      <c r="I73" s="15"/>
      <c r="J73" s="15"/>
      <c r="K73" s="17" t="s">
        <v>4</v>
      </c>
      <c r="L73" s="19">
        <v>46235</v>
      </c>
      <c r="M73" s="27">
        <v>46265</v>
      </c>
      <c r="N73" s="16">
        <v>6</v>
      </c>
      <c r="O73" s="3" t="str">
        <f>任务计划表!K73</f>
        <v xml:space="preserve"> @魏殷浩(80019157)</v>
      </c>
      <c r="P73" s="11">
        <f>IF(IF(任务计划表!L73="/",人员资源情况!$A$2,L73)&gt;M73,M73,(IF(任务计划表!L73="/",人员资源情况!$A$2,L73)))</f>
        <v>46235</v>
      </c>
      <c r="Q73" s="11">
        <f>IF(M73="/",人员资源情况!$B$2,任务计划表!M73)</f>
        <v>46265</v>
      </c>
      <c r="R73" s="9">
        <f>任务计划表!N73</f>
        <v>6</v>
      </c>
      <c r="S73" s="6">
        <f>IF(O73=人员资源情况!C$2,1,0)</f>
        <v>1</v>
      </c>
      <c r="T73" s="6">
        <f>IF(P73&gt;=人员资源情况!A$2,1,0)</f>
        <v>1</v>
      </c>
      <c r="U73" s="6">
        <f>IF(Q73&lt;=人员资源情况!B$2,1,0)</f>
        <v>0</v>
      </c>
      <c r="V73" s="8">
        <f>IF(T73*U73,Q73-P73,IF(T73&gt;U73,人员资源情况!B$2-P73,IF(T73&lt;U73,任务计划表!Q73-人员资源情况!A$2,0)))*R73*S73</f>
        <v>-6</v>
      </c>
      <c r="W73" s="9">
        <f t="shared" si="2"/>
        <v>0</v>
      </c>
    </row>
    <row r="74" spans="5:23" ht="14.25" customHeight="1" x14ac:dyDescent="0.3">
      <c r="E74" s="77"/>
      <c r="F74" s="15"/>
      <c r="G74" s="15"/>
      <c r="H74" s="15"/>
      <c r="I74" s="15"/>
      <c r="J74" s="15"/>
      <c r="K74" s="15"/>
      <c r="L74" s="15"/>
      <c r="M74" s="19"/>
      <c r="N74" s="15"/>
      <c r="O74" s="3">
        <f>任务计划表!K74</f>
        <v>0</v>
      </c>
      <c r="P74" s="11">
        <f>IF(IF(任务计划表!L74="/",人员资源情况!$A$2,L74)&gt;M74,M74,(IF(任务计划表!L74="/",人员资源情况!$A$2,L74)))</f>
        <v>0</v>
      </c>
      <c r="Q74" s="11">
        <f>IF(M74="/",人员资源情况!$B$2,任务计划表!M74)</f>
        <v>0</v>
      </c>
      <c r="R74" s="9">
        <f>任务计划表!N74</f>
        <v>0</v>
      </c>
      <c r="S74" s="6">
        <f>IF(O74=人员资源情况!C$2,1,0)</f>
        <v>0</v>
      </c>
      <c r="T74" s="6">
        <f>IF(P74&gt;=人员资源情况!A$2,1,0)</f>
        <v>0</v>
      </c>
      <c r="U74" s="6">
        <f>IF(Q74&lt;=人员资源情况!B$2,1,0)</f>
        <v>1</v>
      </c>
      <c r="V74" s="8">
        <f>IF(T74*U74,Q74-P74,IF(T74&gt;U74,人员资源情况!B$2-P74,IF(T74&lt;U74,任务计划表!Q74-人员资源情况!A$2,0)))*R74*S74</f>
        <v>0</v>
      </c>
      <c r="W74" s="9">
        <f t="shared" si="2"/>
        <v>0</v>
      </c>
    </row>
    <row r="75" spans="5:23" ht="14.25" customHeight="1" x14ac:dyDescent="0.3">
      <c r="F75" s="9"/>
      <c r="G75" s="9"/>
      <c r="H75" s="9"/>
      <c r="I75" s="9"/>
      <c r="J75" s="9"/>
      <c r="K75" s="9"/>
      <c r="L75" s="9"/>
      <c r="M75" s="9"/>
      <c r="N75" s="9"/>
      <c r="O75" s="3">
        <f>任务计划表!K75</f>
        <v>0</v>
      </c>
      <c r="P75" s="11">
        <f>IF(IF(任务计划表!L75="/",人员资源情况!$A$2,L75)&gt;M75,M75,(IF(任务计划表!L75="/",人员资源情况!$A$2,L75)))</f>
        <v>0</v>
      </c>
      <c r="Q75" s="11">
        <f>IF(M75="/",人员资源情况!$B$2,任务计划表!M75)</f>
        <v>0</v>
      </c>
      <c r="R75" s="9">
        <f>任务计划表!N75</f>
        <v>0</v>
      </c>
      <c r="S75" s="6">
        <f>IF(O75=人员资源情况!C$2,1,0)</f>
        <v>0</v>
      </c>
      <c r="T75" s="6">
        <f>IF(P75&gt;=人员资源情况!A$2,1,0)</f>
        <v>0</v>
      </c>
      <c r="U75" s="6">
        <f>IF(Q75&lt;=人员资源情况!B$2,1,0)</f>
        <v>1</v>
      </c>
      <c r="V75" s="8">
        <f>IF(T75*U75,Q75-P75,IF(T75&gt;U75,人员资源情况!B$2-P75,IF(T75&lt;U75,任务计划表!Q75-人员资源情况!A$2,0)))*R75*S75</f>
        <v>0</v>
      </c>
      <c r="W75" s="9">
        <f t="shared" si="2"/>
        <v>0</v>
      </c>
    </row>
  </sheetData>
  <autoFilter ref="K1:K1047096" xr:uid="{00000000-0009-0000-0000-000001000000}"/>
  <mergeCells count="30">
    <mergeCell ref="E26:E32"/>
    <mergeCell ref="E73:E74"/>
    <mergeCell ref="E47:E51"/>
    <mergeCell ref="F31:F32"/>
    <mergeCell ref="E33:E46"/>
    <mergeCell ref="F36:F46"/>
    <mergeCell ref="I68:I70"/>
    <mergeCell ref="F68:F72"/>
    <mergeCell ref="J2:N2"/>
    <mergeCell ref="F64:F67"/>
    <mergeCell ref="E52:E55"/>
    <mergeCell ref="E62:E63"/>
    <mergeCell ref="E4:E25"/>
    <mergeCell ref="I64:I67"/>
    <mergeCell ref="F52:F55"/>
    <mergeCell ref="E56:E61"/>
    <mergeCell ref="F56:F61"/>
    <mergeCell ref="H4:H9"/>
    <mergeCell ref="F62:F63"/>
    <mergeCell ref="E64:E72"/>
    <mergeCell ref="I62:I63"/>
    <mergeCell ref="G4:G9"/>
    <mergeCell ref="F17:F24"/>
    <mergeCell ref="F47:F50"/>
    <mergeCell ref="I56:I58"/>
    <mergeCell ref="I52:I55"/>
    <mergeCell ref="F4:F9"/>
    <mergeCell ref="F28:F29"/>
    <mergeCell ref="I4:I9"/>
    <mergeCell ref="F11:F16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人员资源情况</vt:lpstr>
      <vt:lpstr>任务计划表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项家祺</cp:lastModifiedBy>
  <dcterms:created xsi:type="dcterms:W3CDTF">2006-09-16T00:00:00Z</dcterms:created>
  <dcterms:modified xsi:type="dcterms:W3CDTF">2026-07-20T10:29:54Z</dcterms:modified>
</cp:coreProperties>
</file>