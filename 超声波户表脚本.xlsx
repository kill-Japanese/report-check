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t="inlineStr">
        <is>
          <t>巴西经营中心</t>
        </is>
      </c>
      <c r="F227" t="inlineStr">
        <is>
          <t>DLMS系统联调</t>
        </is>
      </c>
      <c r="G227" t="inlineStr">
        <is>
          <t>1900-01-01</t>
        </is>
      </c>
      <c r="H227" t="inlineStr">
        <is>
          <t>2026-08-14</t>
        </is>
      </c>
      <c r="I227" t="inlineStr">
        <is>
          <t>TR4</t>
        </is>
      </c>
      <c r="J227" t="inlineStr">
        <is>
          <t>push interval 1-2 初步分析</t>
        </is>
      </c>
      <c r="K227" t="inlineStr">
        <is>
          <t>@张国庆(80019159)</t>
        </is>
      </c>
      <c r="L227" t="inlineStr">
        <is>
          <t>2026-08-03</t>
        </is>
      </c>
      <c r="M227" t="inlineStr">
        <is>
          <t>2026-08-04</t>
        </is>
      </c>
      <c r="N227" t="n">
        <v>4</v>
      </c>
      <c r="O227">
        <f>任务计划表!K227</f>
        <v/>
      </c>
      <c r="P227">
        <f>IF(IF(任务计划表!L227="/",人员资源情况!$A$2,L227)&gt;M227,M227,(IF(任务计划表!L227="/",人员资源情况!$A$2,L227)))</f>
        <v/>
      </c>
      <c r="Q227">
        <f>IF(M227="/",人员资源情况!$B$2,任务计划表!M227)</f>
        <v/>
      </c>
      <c r="R227">
        <f>任务计划表!N227</f>
        <v/>
      </c>
      <c r="S227">
        <f>IF(O227=人员资源情况!C$2,1,0)</f>
        <v/>
      </c>
      <c r="T227">
        <f>IF(P227&gt;=人员资源情况!A$2,1,0)</f>
        <v/>
      </c>
      <c r="U227">
        <f>IF(Q227&lt;=人员资源情况!B$2,1,0)</f>
        <v/>
      </c>
      <c r="V227">
        <f>IF(T227*U227,Q227-P227,IF(T227&gt;U227,人员资源情况!B$2-P227,IF(T227&lt;U227,任务计划表!Q227-人员资源情况!A$2,0)))*R227*S227</f>
        <v/>
      </c>
      <c r="W227">
        <f>IF(V227&lt;0,0,V227)</f>
        <v/>
      </c>
    </row>
    <row r="228">
      <c r="E228" t="inlineStr">
        <is>
          <t>巴西经营中心</t>
        </is>
      </c>
      <c r="F228" t="inlineStr">
        <is>
          <t>DLMS系统联调</t>
        </is>
      </c>
      <c r="G228" t="inlineStr">
        <is>
          <t>1900-01-01</t>
        </is>
      </c>
      <c r="H228" t="inlineStr">
        <is>
          <t>2026-08-14</t>
        </is>
      </c>
      <c r="I228" t="inlineStr">
        <is>
          <t>TR4</t>
        </is>
      </c>
      <c r="J228" t="inlineStr">
        <is>
          <t>push interval 1-2 代码修复</t>
        </is>
      </c>
      <c r="K228" t="inlineStr">
        <is>
          <t>@袁琮欣(80015786)(袁琮欣)</t>
        </is>
      </c>
      <c r="L228" t="inlineStr">
        <is>
          <t>2026-08-03</t>
        </is>
      </c>
      <c r="M228" t="inlineStr">
        <is>
          <t>2026-08-04</t>
        </is>
      </c>
      <c r="N228" t="n">
        <v>2</v>
      </c>
      <c r="O228">
        <f>任务计划表!K228</f>
        <v/>
      </c>
      <c r="P228">
        <f>IF(IF(任务计划表!L228="/",人员资源情况!$A$2,L228)&gt;M228,M228,(IF(任务计划表!L228="/",人员资源情况!$A$2,L228)))</f>
        <v/>
      </c>
      <c r="Q228">
        <f>IF(M228="/",人员资源情况!$B$2,任务计划表!M228)</f>
        <v/>
      </c>
      <c r="R228">
        <f>任务计划表!N228</f>
        <v/>
      </c>
      <c r="S228">
        <f>IF(O228=人员资源情况!C$2,1,0)</f>
        <v/>
      </c>
      <c r="T228">
        <f>IF(P228&gt;=人员资源情况!A$2,1,0)</f>
        <v/>
      </c>
      <c r="U228">
        <f>IF(Q228&lt;=人员资源情况!B$2,1,0)</f>
        <v/>
      </c>
      <c r="V228">
        <f>IF(T228*U228,Q228-P228,IF(T228&gt;U228,人员资源情况!B$2-P228,IF(T228&lt;U228,任务计划表!Q228-人员资源情况!A$2,0)))*R228*S228</f>
        <v/>
      </c>
      <c r="W228">
        <f>IF(V228&lt;0,0,V228)</f>
        <v/>
      </c>
    </row>
    <row r="229">
      <c r="E229" t="inlineStr">
        <is>
          <t>巴西经营中心</t>
        </is>
      </c>
      <c r="F229" t="inlineStr">
        <is>
          <t>DLMS系统联调</t>
        </is>
      </c>
      <c r="G229" t="inlineStr">
        <is>
          <t>1900-01-01</t>
        </is>
      </c>
      <c r="H229" t="inlineStr">
        <is>
          <t>2026-08-14</t>
        </is>
      </c>
      <c r="I229" t="inlineStr">
        <is>
          <t>TR4</t>
        </is>
      </c>
      <c r="J229" t="inlineStr">
        <is>
          <t>Pull-系统与水表传输解密过</t>
        </is>
      </c>
      <c r="K229" t="inlineStr">
        <is>
          <t>@袁琮欣(80015786)(袁琮欣)</t>
        </is>
      </c>
      <c r="L229" t="inlineStr">
        <is>
          <t>2026-08-04</t>
        </is>
      </c>
      <c r="M229" t="inlineStr">
        <is>
          <t>2026-08-07</t>
        </is>
      </c>
      <c r="N229" t="n">
        <v>3</v>
      </c>
      <c r="O229">
        <f>任务计划表!K229</f>
        <v/>
      </c>
      <c r="P229">
        <f>IF(IF(任务计划表!L229="/",人员资源情况!$A$2,L229)&gt;M229,M229,(IF(任务计划表!L229="/",人员资源情况!$A$2,L229)))</f>
        <v/>
      </c>
      <c r="Q229">
        <f>IF(M229="/",人员资源情况!$B$2,任务计划表!M229)</f>
        <v/>
      </c>
      <c r="R229">
        <f>任务计划表!N229</f>
        <v/>
      </c>
      <c r="S229">
        <f>IF(O229=人员资源情况!C$2,1,0)</f>
        <v/>
      </c>
      <c r="T229">
        <f>IF(P229&gt;=人员资源情况!A$2,1,0)</f>
        <v/>
      </c>
      <c r="U229">
        <f>IF(Q229&lt;=人员资源情况!B$2,1,0)</f>
        <v/>
      </c>
      <c r="V229">
        <f>IF(T229*U229,Q229-P229,IF(T229&gt;U229,人员资源情况!B$2-P229,IF(T229&lt;U229,任务计划表!Q229-人员资源情况!A$2,0)))*R229*S229</f>
        <v/>
      </c>
      <c r="W229">
        <f>IF(V229&lt;0,0,V229)</f>
        <v/>
      </c>
    </row>
    <row r="230">
      <c r="E230" t="inlineStr">
        <is>
          <t>巴西经营中心</t>
        </is>
      </c>
      <c r="F230" t="inlineStr">
        <is>
          <t>DLMS系统联调</t>
        </is>
      </c>
      <c r="G230" t="inlineStr">
        <is>
          <t>1900-01-01</t>
        </is>
      </c>
      <c r="H230" t="inlineStr">
        <is>
          <t>2026-08-14</t>
        </is>
      </c>
      <c r="I230" t="inlineStr">
        <is>
          <t>TR4</t>
        </is>
      </c>
      <c r="J230" t="inlineStr">
        <is>
          <t>Pull-系统与水表传输解密过</t>
        </is>
      </c>
      <c r="K230" t="inlineStr">
        <is>
          <t>@张国庆(80019159)</t>
        </is>
      </c>
      <c r="L230" t="inlineStr">
        <is>
          <t>2026-08-04</t>
        </is>
      </c>
      <c r="M230" t="inlineStr">
        <is>
          <t>2026-08-07</t>
        </is>
      </c>
      <c r="N230" t="n">
        <v>3</v>
      </c>
      <c r="O230">
        <f>任务计划表!K230</f>
        <v/>
      </c>
      <c r="P230">
        <f>IF(IF(任务计划表!L230="/",人员资源情况!$A$2,L230)&gt;M230,M230,(IF(任务计划表!L230="/",人员资源情况!$A$2,L230)))</f>
        <v/>
      </c>
      <c r="Q230">
        <f>IF(M230="/",人员资源情况!$B$2,任务计划表!M230)</f>
        <v/>
      </c>
      <c r="R230">
        <f>任务计划表!N230</f>
        <v/>
      </c>
      <c r="S230">
        <f>IF(O230=人员资源情况!C$2,1,0)</f>
        <v/>
      </c>
      <c r="T230">
        <f>IF(P230&gt;=人员资源情况!A$2,1,0)</f>
        <v/>
      </c>
      <c r="U230">
        <f>IF(Q230&lt;=人员资源情况!B$2,1,0)</f>
        <v/>
      </c>
      <c r="V230">
        <f>IF(T230*U230,Q230-P230,IF(T230&gt;U230,人员资源情况!B$2-P230,IF(T230&lt;U230,任务计划表!Q230-人员资源情况!A$2,0)))*R230*S230</f>
        <v/>
      </c>
      <c r="W230">
        <f>IF(V230&lt;0,0,V230)</f>
        <v/>
      </c>
    </row>
    <row r="231">
      <c r="E231" t="inlineStr">
        <is>
          <t>巴西经营中心</t>
        </is>
      </c>
      <c r="F231" t="inlineStr">
        <is>
          <t>DLMS系统联调</t>
        </is>
      </c>
      <c r="G231" t="inlineStr">
        <is>
          <t>1900-01-01</t>
        </is>
      </c>
      <c r="H231" t="inlineStr">
        <is>
          <t>2026-08-14</t>
        </is>
      </c>
      <c r="I231" t="inlineStr">
        <is>
          <t>TR4</t>
        </is>
      </c>
      <c r="J231" t="inlineStr">
        <is>
          <t>pull-class 64/15-初步分析</t>
        </is>
      </c>
      <c r="K231" t="inlineStr">
        <is>
          <t>@张国庆(80019159)</t>
        </is>
      </c>
      <c r="L231" t="inlineStr">
        <is>
          <t>2026-08-07</t>
        </is>
      </c>
      <c r="M231" t="inlineStr">
        <is>
          <t>2026-08-10</t>
        </is>
      </c>
      <c r="N231" t="n">
        <v>4</v>
      </c>
      <c r="O231">
        <f>任务计划表!K231</f>
        <v/>
      </c>
      <c r="P231">
        <f>IF(IF(任务计划表!L231="/",人员资源情况!$A$2,L231)&gt;M231,M231,(IF(任务计划表!L231="/",人员资源情况!$A$2,L231)))</f>
        <v/>
      </c>
      <c r="Q231">
        <f>IF(M231="/",人员资源情况!$B$2,任务计划表!M231)</f>
        <v/>
      </c>
      <c r="R231">
        <f>任务计划表!N231</f>
        <v/>
      </c>
      <c r="S231">
        <f>IF(O231=人员资源情况!C$2,1,0)</f>
        <v/>
      </c>
      <c r="T231">
        <f>IF(P231&gt;=人员资源情况!A$2,1,0)</f>
        <v/>
      </c>
      <c r="U231">
        <f>IF(Q231&lt;=人员资源情况!B$2,1,0)</f>
        <v/>
      </c>
      <c r="V231">
        <f>IF(T231*U231,Q231-P231,IF(T231&gt;U231,人员资源情况!B$2-P231,IF(T231&lt;U231,任务计划表!Q231-人员资源情况!A$2,0)))*R231*S231</f>
        <v/>
      </c>
      <c r="W231">
        <f>IF(V231&lt;0,0,V231)</f>
        <v/>
      </c>
    </row>
    <row r="232">
      <c r="E232" t="inlineStr">
        <is>
          <t>巴西经营中心</t>
        </is>
      </c>
      <c r="F232" t="inlineStr">
        <is>
          <t>DLMS系统联调</t>
        </is>
      </c>
      <c r="G232" t="inlineStr">
        <is>
          <t>1900-01-01</t>
        </is>
      </c>
      <c r="H232" t="inlineStr">
        <is>
          <t>2026-08-14</t>
        </is>
      </c>
      <c r="I232" t="inlineStr">
        <is>
          <t>TR4</t>
        </is>
      </c>
      <c r="J232" t="inlineStr">
        <is>
          <t>pull-class 64/15-代码修复</t>
        </is>
      </c>
      <c r="K232" t="inlineStr">
        <is>
          <t>@袁琮欣(80015786)(袁琮欣)</t>
        </is>
      </c>
      <c r="L232" t="inlineStr">
        <is>
          <t>2026-08-07</t>
        </is>
      </c>
      <c r="M232" t="inlineStr">
        <is>
          <t>2026-08-10</t>
        </is>
      </c>
      <c r="N232" t="n">
        <v>4</v>
      </c>
      <c r="O232">
        <f>任务计划表!K232</f>
        <v/>
      </c>
      <c r="P232">
        <f>IF(IF(任务计划表!L232="/",人员资源情况!$A$2,L232)&gt;M232,M232,(IF(任务计划表!L232="/",人员资源情况!$A$2,L232)))</f>
        <v/>
      </c>
      <c r="Q232">
        <f>IF(M232="/",人员资源情况!$B$2,任务计划表!M232)</f>
        <v/>
      </c>
      <c r="R232">
        <f>任务计划表!N232</f>
        <v/>
      </c>
      <c r="S232">
        <f>IF(O232=人员资源情况!C$2,1,0)</f>
        <v/>
      </c>
      <c r="T232">
        <f>IF(P232&gt;=人员资源情况!A$2,1,0)</f>
        <v/>
      </c>
      <c r="U232">
        <f>IF(Q232&lt;=人员资源情况!B$2,1,0)</f>
        <v/>
      </c>
      <c r="V232">
        <f>IF(T232*U232,Q232-P232,IF(T232&gt;U232,人员资源情况!B$2-P232,IF(T232&lt;U232,任务计划表!Q232-人员资源情况!A$2,0)))*R232*S232</f>
        <v/>
      </c>
      <c r="W232">
        <f>IF(V232&lt;0,0,V232)</f>
        <v/>
      </c>
    </row>
    <row r="233">
      <c r="E233" t="inlineStr">
        <is>
          <t>巴西经营中心</t>
        </is>
      </c>
      <c r="F233" t="inlineStr">
        <is>
          <t>DLMS系统联调</t>
        </is>
      </c>
      <c r="G233" t="inlineStr">
        <is>
          <t>1900-01-01</t>
        </is>
      </c>
      <c r="H233" t="inlineStr">
        <is>
          <t>2026-08-14</t>
        </is>
      </c>
      <c r="I233" t="inlineStr">
        <is>
          <t>TR4</t>
        </is>
      </c>
      <c r="J233" t="inlineStr">
        <is>
          <t>pull-class 22/9/40-初步分析</t>
        </is>
      </c>
      <c r="K233" t="inlineStr">
        <is>
          <t>@张国庆(80019159)</t>
        </is>
      </c>
      <c r="L233" t="inlineStr">
        <is>
          <t>2026-08-10</t>
        </is>
      </c>
      <c r="M233" t="inlineStr">
        <is>
          <t>2026-08-11</t>
        </is>
      </c>
      <c r="N233" t="n">
        <v>4</v>
      </c>
      <c r="O233">
        <f>任务计划表!K233</f>
        <v/>
      </c>
      <c r="P233">
        <f>IF(IF(任务计划表!L233="/",人员资源情况!$A$2,L233)&gt;M233,M233,(IF(任务计划表!L233="/",人员资源情况!$A$2,L233)))</f>
        <v/>
      </c>
      <c r="Q233">
        <f>IF(M233="/",人员资源情况!$B$2,任务计划表!M233)</f>
        <v/>
      </c>
      <c r="R233">
        <f>任务计划表!N233</f>
        <v/>
      </c>
      <c r="S233">
        <f>IF(O233=人员资源情况!C$2,1,0)</f>
        <v/>
      </c>
      <c r="T233">
        <f>IF(P233&gt;=人员资源情况!A$2,1,0)</f>
        <v/>
      </c>
      <c r="U233">
        <f>IF(Q233&lt;=人员资源情况!B$2,1,0)</f>
        <v/>
      </c>
      <c r="V233">
        <f>IF(T233*U233,Q233-P233,IF(T233&gt;U233,人员资源情况!B$2-P233,IF(T233&lt;U233,任务计划表!Q233-人员资源情况!A$2,0)))*R233*S233</f>
        <v/>
      </c>
      <c r="W233">
        <f>IF(V233&lt;0,0,V233)</f>
        <v/>
      </c>
    </row>
    <row r="234">
      <c r="E234" t="inlineStr">
        <is>
          <t>巴西经营中心</t>
        </is>
      </c>
      <c r="F234" t="inlineStr">
        <is>
          <t>DLMS系统联调</t>
        </is>
      </c>
      <c r="G234" t="inlineStr">
        <is>
          <t>1900-01-01</t>
        </is>
      </c>
      <c r="H234" t="inlineStr">
        <is>
          <t>2026-08-14</t>
        </is>
      </c>
      <c r="I234" t="inlineStr">
        <is>
          <t>TR4</t>
        </is>
      </c>
      <c r="J234" t="inlineStr">
        <is>
          <t>pull-class 22/9/40-代码修复</t>
        </is>
      </c>
      <c r="K234" t="inlineStr">
        <is>
          <t>@袁琮欣(80015786)(袁琮欣)</t>
        </is>
      </c>
      <c r="L234" t="inlineStr">
        <is>
          <t>2026-08-10</t>
        </is>
      </c>
      <c r="M234" t="inlineStr">
        <is>
          <t>2026-08-11</t>
        </is>
      </c>
      <c r="N234" t="n">
        <v>4</v>
      </c>
      <c r="O234">
        <f>任务计划表!K234</f>
        <v/>
      </c>
      <c r="P234">
        <f>IF(IF(任务计划表!L234="/",人员资源情况!$A$2,L234)&gt;M234,M234,(IF(任务计划表!L234="/",人员资源情况!$A$2,L234)))</f>
        <v/>
      </c>
      <c r="Q234">
        <f>IF(M234="/",人员资源情况!$B$2,任务计划表!M234)</f>
        <v/>
      </c>
      <c r="R234">
        <f>任务计划表!N234</f>
        <v/>
      </c>
      <c r="S234">
        <f>IF(O234=人员资源情况!C$2,1,0)</f>
        <v/>
      </c>
      <c r="T234">
        <f>IF(P234&gt;=人员资源情况!A$2,1,0)</f>
        <v/>
      </c>
      <c r="U234">
        <f>IF(Q234&lt;=人员资源情况!B$2,1,0)</f>
        <v/>
      </c>
      <c r="V234">
        <f>IF(T234*U234,Q234-P234,IF(T234&gt;U234,人员资源情况!B$2-P234,IF(T234&lt;U234,任务计划表!Q234-人员资源情况!A$2,0)))*R234*S234</f>
        <v/>
      </c>
      <c r="W234">
        <f>IF(V234&lt;0,0,V234)</f>
        <v/>
      </c>
    </row>
    <row r="235">
      <c r="E235" t="inlineStr">
        <is>
          <t>巴西经营中心</t>
        </is>
      </c>
      <c r="F235" t="inlineStr">
        <is>
          <t>DLMS系统联调</t>
        </is>
      </c>
      <c r="G235" t="inlineStr">
        <is>
          <t>1900-01-01</t>
        </is>
      </c>
      <c r="H235" t="inlineStr">
        <is>
          <t>2026-08-14</t>
        </is>
      </c>
      <c r="I235" t="inlineStr">
        <is>
          <t>TR4</t>
        </is>
      </c>
      <c r="J235" t="inlineStr">
        <is>
          <t>pull-class profile-初步分析</t>
        </is>
      </c>
      <c r="K235" t="inlineStr">
        <is>
          <t>@张国庆(80019159)</t>
        </is>
      </c>
      <c r="L235" t="inlineStr">
        <is>
          <t>2026-08-11</t>
        </is>
      </c>
      <c r="M235" t="inlineStr">
        <is>
          <t>2026-08-12</t>
        </is>
      </c>
      <c r="N235" t="n">
        <v>1</v>
      </c>
      <c r="O235">
        <f>任务计划表!K235</f>
        <v/>
      </c>
      <c r="P235">
        <f>IF(IF(任务计划表!L235="/",人员资源情况!$A$2,L235)&gt;M235,M235,(IF(任务计划表!L235="/",人员资源情况!$A$2,L235)))</f>
        <v/>
      </c>
      <c r="Q235">
        <f>IF(M235="/",人员资源情况!$B$2,任务计划表!M235)</f>
        <v/>
      </c>
      <c r="R235">
        <f>任务计划表!N235</f>
        <v/>
      </c>
      <c r="S235">
        <f>IF(O235=人员资源情况!C$2,1,0)</f>
        <v/>
      </c>
      <c r="T235">
        <f>IF(P235&gt;=人员资源情况!A$2,1,0)</f>
        <v/>
      </c>
      <c r="U235">
        <f>IF(Q235&lt;=人员资源情况!B$2,1,0)</f>
        <v/>
      </c>
      <c r="V235">
        <f>IF(T235*U235,Q235-P235,IF(T235&gt;U235,人员资源情况!B$2-P235,IF(T235&lt;U235,任务计划表!Q235-人员资源情况!A$2,0)))*R235*S235</f>
        <v/>
      </c>
      <c r="W235">
        <f>IF(V235&lt;0,0,V235)</f>
        <v/>
      </c>
    </row>
    <row r="236">
      <c r="E236" t="inlineStr">
        <is>
          <t>巴西经营中心</t>
        </is>
      </c>
      <c r="F236" t="inlineStr">
        <is>
          <t>DLMS系统联调</t>
        </is>
      </c>
      <c r="G236" t="inlineStr">
        <is>
          <t>1900-01-01</t>
        </is>
      </c>
      <c r="H236" t="inlineStr">
        <is>
          <t>2026-08-14</t>
        </is>
      </c>
      <c r="I236" t="inlineStr">
        <is>
          <t>TR4</t>
        </is>
      </c>
      <c r="J236" t="inlineStr">
        <is>
          <t>pull-class profile-代码修复</t>
        </is>
      </c>
      <c r="K236" t="inlineStr">
        <is>
          <t>@袁琮欣(80015786)(袁琮欣)</t>
        </is>
      </c>
      <c r="L236" t="inlineStr">
        <is>
          <t>2026-08-11</t>
        </is>
      </c>
      <c r="M236" t="inlineStr">
        <is>
          <t>2026-08-12</t>
        </is>
      </c>
      <c r="N236" t="n">
        <v>1</v>
      </c>
      <c r="O236">
        <f>任务计划表!K236</f>
        <v/>
      </c>
      <c r="P236">
        <f>IF(IF(任务计划表!L236="/",人员资源情况!$A$2,L236)&gt;M236,M236,(IF(任务计划表!L236="/",人员资源情况!$A$2,L236)))</f>
        <v/>
      </c>
      <c r="Q236">
        <f>IF(M236="/",人员资源情况!$B$2,任务计划表!M236)</f>
        <v/>
      </c>
      <c r="R236">
        <f>任务计划表!N236</f>
        <v/>
      </c>
      <c r="S236">
        <f>IF(O236=人员资源情况!C$2,1,0)</f>
        <v/>
      </c>
      <c r="T236">
        <f>IF(P236&gt;=人员资源情况!A$2,1,0)</f>
        <v/>
      </c>
      <c r="U236">
        <f>IF(Q236&lt;=人员资源情况!B$2,1,0)</f>
        <v/>
      </c>
      <c r="V236">
        <f>IF(T236*U236,Q236-P236,IF(T236&gt;U236,人员资源情况!B$2-P236,IF(T236&lt;U236,任务计划表!Q236-人员资源情况!A$2,0)))*R236*S236</f>
        <v/>
      </c>
      <c r="W236">
        <f>IF(V236&lt;0,0,V236)</f>
        <v/>
      </c>
    </row>
    <row r="237">
      <c r="E237" t="inlineStr">
        <is>
          <t>巴西经营中心</t>
        </is>
      </c>
      <c r="F237" t="inlineStr">
        <is>
          <t>DLMS系统联调</t>
        </is>
      </c>
      <c r="G237" t="inlineStr">
        <is>
          <t>1900-01-01</t>
        </is>
      </c>
      <c r="H237" t="inlineStr">
        <is>
          <t>2026-08-14</t>
        </is>
      </c>
      <c r="I237" t="inlineStr">
        <is>
          <t>TR4</t>
        </is>
      </c>
      <c r="J237" t="inlineStr">
        <is>
          <t>pull-class event-初步分析</t>
        </is>
      </c>
      <c r="K237" t="inlineStr">
        <is>
          <t>@张国庆(80019159)</t>
        </is>
      </c>
      <c r="L237" t="inlineStr">
        <is>
          <t>2026-08-12</t>
        </is>
      </c>
      <c r="M237" t="inlineStr">
        <is>
          <t>2026-08-14</t>
        </is>
      </c>
      <c r="N237" t="n">
        <v>5</v>
      </c>
      <c r="O237">
        <f>任务计划表!K237</f>
        <v/>
      </c>
      <c r="P237">
        <f>IF(IF(任务计划表!L237="/",人员资源情况!$A$2,L237)&gt;M237,M237,(IF(任务计划表!L237="/",人员资源情况!$A$2,L237)))</f>
        <v/>
      </c>
      <c r="Q237">
        <f>IF(M237="/",人员资源情况!$B$2,任务计划表!M237)</f>
        <v/>
      </c>
      <c r="R237">
        <f>任务计划表!N237</f>
        <v/>
      </c>
      <c r="S237">
        <f>IF(O237=人员资源情况!C$2,1,0)</f>
        <v/>
      </c>
      <c r="T237">
        <f>IF(P237&gt;=人员资源情况!A$2,1,0)</f>
        <v/>
      </c>
      <c r="U237">
        <f>IF(Q237&lt;=人员资源情况!B$2,1,0)</f>
        <v/>
      </c>
      <c r="V237">
        <f>IF(T237*U237,Q237-P237,IF(T237&gt;U237,人员资源情况!B$2-P237,IF(T237&lt;U237,任务计划表!Q237-人员资源情况!A$2,0)))*R237*S237</f>
        <v/>
      </c>
      <c r="W237">
        <f>IF(V237&lt;0,0,V237)</f>
        <v/>
      </c>
    </row>
    <row r="238">
      <c r="E238" t="inlineStr">
        <is>
          <t>巴西经营中心</t>
        </is>
      </c>
      <c r="F238" t="inlineStr">
        <is>
          <t>DLMS系统联调</t>
        </is>
      </c>
      <c r="G238" t="inlineStr">
        <is>
          <t>1900-01-01</t>
        </is>
      </c>
      <c r="H238" t="inlineStr">
        <is>
          <t>2026-08-14</t>
        </is>
      </c>
      <c r="I238" t="inlineStr">
        <is>
          <t>TR4</t>
        </is>
      </c>
      <c r="J238" t="inlineStr">
        <is>
          <t>pull-class event-代码修复</t>
        </is>
      </c>
      <c r="K238" t="inlineStr">
        <is>
          <t>@李昊龙(80016809)</t>
        </is>
      </c>
      <c r="L238" t="inlineStr">
        <is>
          <t>2026-08-12</t>
        </is>
      </c>
      <c r="M238" t="inlineStr">
        <is>
          <t>2026-08-14</t>
        </is>
      </c>
      <c r="N238" t="n">
        <v>3</v>
      </c>
      <c r="O238">
        <f>任务计划表!K238</f>
        <v/>
      </c>
      <c r="P238">
        <f>IF(IF(任务计划表!L238="/",人员资源情况!$A$2,L238)&gt;M238,M238,(IF(任务计划表!L238="/",人员资源情况!$A$2,L238)))</f>
        <v/>
      </c>
      <c r="Q238">
        <f>IF(M238="/",人员资源情况!$B$2,任务计划表!M238)</f>
        <v/>
      </c>
      <c r="R238">
        <f>任务计划表!N238</f>
        <v/>
      </c>
      <c r="S238">
        <f>IF(O238=人员资源情况!C$2,1,0)</f>
        <v/>
      </c>
      <c r="T238">
        <f>IF(P238&gt;=人员资源情况!A$2,1,0)</f>
        <v/>
      </c>
      <c r="U238">
        <f>IF(Q238&lt;=人员资源情况!B$2,1,0)</f>
        <v/>
      </c>
      <c r="V238">
        <f>IF(T238*U238,Q238-P238,IF(T238&gt;U238,人员资源情况!B$2-P238,IF(T238&lt;U238,任务计划表!Q238-人员资源情况!A$2,0)))*R238*S238</f>
        <v/>
      </c>
      <c r="W238">
        <f>IF(V238&lt;0,0,V238)</f>
        <v/>
      </c>
    </row>
    <row r="239">
      <c r="E239" t="inlineStr">
        <is>
          <t>巴西经营中心</t>
        </is>
      </c>
      <c r="F239" t="inlineStr">
        <is>
          <t>DLMS系统联调</t>
        </is>
      </c>
      <c r="G239" t="inlineStr">
        <is>
          <t>1900-01-01</t>
        </is>
      </c>
      <c r="H239" t="inlineStr">
        <is>
          <t>2026-08-14</t>
        </is>
      </c>
      <c r="I239" t="inlineStr">
        <is>
          <t>TR4</t>
        </is>
      </c>
      <c r="J239" t="inlineStr">
        <is>
          <t>Pull-alarm-register/Filter/</t>
        </is>
      </c>
      <c r="K239" t="inlineStr">
        <is>
          <t>@张国庆(80019159)</t>
        </is>
      </c>
      <c r="L239" t="inlineStr">
        <is>
          <t>1900-01-01</t>
        </is>
      </c>
      <c r="M239" t="inlineStr">
        <is>
          <t>2026-08-13</t>
        </is>
      </c>
      <c r="N239" t="n">
        <v>2</v>
      </c>
      <c r="O239">
        <f>任务计划表!K239</f>
        <v/>
      </c>
      <c r="P239">
        <f>IF(IF(任务计划表!L239="/",人员资源情况!$A$2,L239)&gt;M239,M239,(IF(任务计划表!L239="/",人员资源情况!$A$2,L239)))</f>
        <v/>
      </c>
      <c r="Q239">
        <f>IF(M239="/",人员资源情况!$B$2,任务计划表!M239)</f>
        <v/>
      </c>
      <c r="R239">
        <f>任务计划表!N239</f>
        <v/>
      </c>
      <c r="S239">
        <f>IF(O239=人员资源情况!C$2,1,0)</f>
        <v/>
      </c>
      <c r="T239">
        <f>IF(P239&gt;=人员资源情况!A$2,1,0)</f>
        <v/>
      </c>
      <c r="U239">
        <f>IF(Q239&lt;=人员资源情况!B$2,1,0)</f>
        <v/>
      </c>
      <c r="V239">
        <f>IF(T239*U239,Q239-P239,IF(T239&gt;U239,人员资源情况!B$2-P239,IF(T239&lt;U239,任务计划表!Q239-人员资源情况!A$2,0)))*R239*S239</f>
        <v/>
      </c>
      <c r="W239">
        <f>IF(V239&lt;0,0,V239)</f>
        <v/>
      </c>
    </row>
    <row r="240">
      <c r="E240" t="inlineStr">
        <is>
          <t>巴西经营中心</t>
        </is>
      </c>
      <c r="F240" t="inlineStr">
        <is>
          <t>DLMS系统联调</t>
        </is>
      </c>
      <c r="G240" t="inlineStr">
        <is>
          <t>1900-01-01</t>
        </is>
      </c>
      <c r="H240" t="inlineStr">
        <is>
          <t>2026-08-14</t>
        </is>
      </c>
      <c r="I240" t="inlineStr">
        <is>
          <t>TR4</t>
        </is>
      </c>
      <c r="J240" t="inlineStr">
        <is>
          <t>Pull-alarm-register/Filter/</t>
        </is>
      </c>
      <c r="K240" t="inlineStr">
        <is>
          <t>@李昊龙(80016809)</t>
        </is>
      </c>
      <c r="L240" t="inlineStr">
        <is>
          <t>1900-01-01</t>
        </is>
      </c>
      <c r="M240" t="inlineStr">
        <is>
          <t>2026-08-13</t>
        </is>
      </c>
      <c r="N240" t="n">
        <v>2</v>
      </c>
      <c r="O240">
        <f>任务计划表!K240</f>
        <v/>
      </c>
      <c r="P240">
        <f>IF(IF(任务计划表!L240="/",人员资源情况!$A$2,L240)&gt;M240,M240,(IF(任务计划表!L240="/",人员资源情况!$A$2,L240)))</f>
        <v/>
      </c>
      <c r="Q240">
        <f>IF(M240="/",人员资源情况!$B$2,任务计划表!M240)</f>
        <v/>
      </c>
      <c r="R240">
        <f>任务计划表!N240</f>
        <v/>
      </c>
      <c r="S240">
        <f>IF(O240=人员资源情况!C$2,1,0)</f>
        <v/>
      </c>
      <c r="T240">
        <f>IF(P240&gt;=人员资源情况!A$2,1,0)</f>
        <v/>
      </c>
      <c r="U240">
        <f>IF(Q240&lt;=人员资源情况!B$2,1,0)</f>
        <v/>
      </c>
      <c r="V240">
        <f>IF(T240*U240,Q240-P240,IF(T240&gt;U240,人员资源情况!B$2-P240,IF(T240&lt;U240,任务计划表!Q240-人员资源情况!A$2,0)))*R240*S240</f>
        <v/>
      </c>
      <c r="W240">
        <f>IF(V240&lt;0,0,V240)</f>
        <v/>
      </c>
    </row>
    <row r="241">
      <c r="E241" t="inlineStr">
        <is>
          <t>巴西经营中心</t>
        </is>
      </c>
      <c r="F241" t="inlineStr">
        <is>
          <t>DLMS系统联调</t>
        </is>
      </c>
      <c r="G241" t="inlineStr">
        <is>
          <t>1900-01-01</t>
        </is>
      </c>
      <c r="H241" t="inlineStr">
        <is>
          <t>2026-08-14</t>
        </is>
      </c>
      <c r="I241" t="inlineStr">
        <is>
          <t>TR4</t>
        </is>
      </c>
      <c r="J241" t="inlineStr">
        <is>
          <t>push alarm -初步分析</t>
        </is>
      </c>
      <c r="K241" t="inlineStr">
        <is>
          <t>@李昊龙(80016809)</t>
        </is>
      </c>
      <c r="L241" t="inlineStr">
        <is>
          <t>2026-08-12</t>
        </is>
      </c>
      <c r="M241" t="inlineStr">
        <is>
          <t>2026-08-13</t>
        </is>
      </c>
      <c r="N241" t="n">
        <v>2</v>
      </c>
      <c r="O241">
        <f>任务计划表!K241</f>
        <v/>
      </c>
      <c r="P241">
        <f>IF(IF(任务计划表!L241="/",人员资源情况!$A$2,L241)&gt;M241,M241,(IF(任务计划表!L241="/",人员资源情况!$A$2,L241)))</f>
        <v/>
      </c>
      <c r="Q241">
        <f>IF(M241="/",人员资源情况!$B$2,任务计划表!M241)</f>
        <v/>
      </c>
      <c r="R241">
        <f>任务计划表!N241</f>
        <v/>
      </c>
      <c r="S241">
        <f>IF(O241=人员资源情况!C$2,1,0)</f>
        <v/>
      </c>
      <c r="T241">
        <f>IF(P241&gt;=人员资源情况!A$2,1,0)</f>
        <v/>
      </c>
      <c r="U241">
        <f>IF(Q241&lt;=人员资源情况!B$2,1,0)</f>
        <v/>
      </c>
      <c r="V241">
        <f>IF(T241*U241,Q241-P241,IF(T241&gt;U241,人员资源情况!B$2-P241,IF(T241&lt;U241,任务计划表!Q241-人员资源情况!A$2,0)))*R241*S241</f>
        <v/>
      </c>
      <c r="W241">
        <f>IF(V241&lt;0,0,V241)</f>
        <v/>
      </c>
    </row>
    <row r="242">
      <c r="E242" t="inlineStr">
        <is>
          <t>巴西经营中心</t>
        </is>
      </c>
      <c r="F242" t="inlineStr">
        <is>
          <t>DLMS系统联调</t>
        </is>
      </c>
      <c r="G242" t="inlineStr">
        <is>
          <t>1900-01-01</t>
        </is>
      </c>
      <c r="H242" t="inlineStr">
        <is>
          <t>2026-08-14</t>
        </is>
      </c>
      <c r="I242" t="inlineStr">
        <is>
          <t>TR4</t>
        </is>
      </c>
      <c r="J242" t="inlineStr">
        <is>
          <t>push alarm -代码修复</t>
        </is>
      </c>
      <c r="K242" t="inlineStr">
        <is>
          <t>@李昊龙(80016809)</t>
        </is>
      </c>
      <c r="L242" t="inlineStr">
        <is>
          <t>2026-08-12</t>
        </is>
      </c>
      <c r="M242" t="inlineStr">
        <is>
          <t>2026-08-13</t>
        </is>
      </c>
      <c r="N242" t="n">
        <v>2</v>
      </c>
      <c r="O242">
        <f>任务计划表!K242</f>
        <v/>
      </c>
      <c r="P242">
        <f>IF(IF(任务计划表!L242="/",人员资源情况!$A$2,L242)&gt;M242,M242,(IF(任务计划表!L242="/",人员资源情况!$A$2,L242)))</f>
        <v/>
      </c>
      <c r="Q242">
        <f>IF(M242="/",人员资源情况!$B$2,任务计划表!M242)</f>
        <v/>
      </c>
      <c r="R242">
        <f>任务计划表!N242</f>
        <v/>
      </c>
      <c r="S242">
        <f>IF(O242=人员资源情况!C$2,1,0)</f>
        <v/>
      </c>
      <c r="T242">
        <f>IF(P242&gt;=人员资源情况!A$2,1,0)</f>
        <v/>
      </c>
      <c r="U242">
        <f>IF(Q242&lt;=人员资源情况!B$2,1,0)</f>
        <v/>
      </c>
      <c r="V242">
        <f>IF(T242*U242,Q242-P242,IF(T242&gt;U242,人员资源情况!B$2-P242,IF(T242&lt;U242,任务计划表!Q242-人员资源情况!A$2,0)))*R242*S242</f>
        <v/>
      </c>
      <c r="W242">
        <f>IF(V242&lt;0,0,V242)</f>
        <v/>
      </c>
    </row>
    <row r="243">
      <c r="E243" t="inlineStr">
        <is>
          <t>巴西经营中心</t>
        </is>
      </c>
      <c r="F243" t="inlineStr">
        <is>
          <t>DLMS系统联调</t>
        </is>
      </c>
      <c r="G243" t="inlineStr">
        <is>
          <t>1900-01-01</t>
        </is>
      </c>
      <c r="H243" t="inlineStr">
        <is>
          <t>2026-08-14</t>
        </is>
      </c>
      <c r="I243" t="inlineStr">
        <is>
          <t>TR4</t>
        </is>
      </c>
      <c r="J243" t="inlineStr">
        <is>
          <t>pull-class1/3模组+基础信息</t>
        </is>
      </c>
      <c r="K243" t="inlineStr">
        <is>
          <t>@张国庆(80019159)</t>
        </is>
      </c>
      <c r="L243" t="inlineStr">
        <is>
          <t>2026-08-07</t>
        </is>
      </c>
      <c r="M243" t="inlineStr">
        <is>
          <t>2026-08-10</t>
        </is>
      </c>
      <c r="N243" t="n">
        <v>4</v>
      </c>
      <c r="O243">
        <f>任务计划表!K243</f>
        <v/>
      </c>
      <c r="P243">
        <f>IF(IF(任务计划表!L243="/",人员资源情况!$A$2,L243)&gt;M243,M243,(IF(任务计划表!L243="/",人员资源情况!$A$2,L243)))</f>
        <v/>
      </c>
      <c r="Q243">
        <f>IF(M243="/",人员资源情况!$B$2,任务计划表!M243)</f>
        <v/>
      </c>
      <c r="R243">
        <f>任务计划表!N243</f>
        <v/>
      </c>
      <c r="S243">
        <f>IF(O243=人员资源情况!C$2,1,0)</f>
        <v/>
      </c>
      <c r="T243">
        <f>IF(P243&gt;=人员资源情况!A$2,1,0)</f>
        <v/>
      </c>
      <c r="U243">
        <f>IF(Q243&lt;=人员资源情况!B$2,1,0)</f>
        <v/>
      </c>
      <c r="V243">
        <f>IF(T243*U243,Q243-P243,IF(T243&gt;U243,人员资源情况!B$2-P243,IF(T243&lt;U243,任务计划表!Q243-人员资源情况!A$2,0)))*R243*S243</f>
        <v/>
      </c>
      <c r="W243">
        <f>IF(V243&lt;0,0,V243)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2026-08-03T01:56:17Z</dcterms:modified>
  <cp:lastModifiedBy>项家祺</cp:lastModifiedBy>
</cp:coreProperties>
</file>