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t="inlineStr">
        <is>
          <t>欧洲</t>
        </is>
      </c>
      <c r="F225" t="inlineStr">
        <is>
          <t>乌拉圭样机</t>
        </is>
      </c>
      <c r="G225" t="inlineStr">
        <is>
          <t>1900-01-01</t>
        </is>
      </c>
      <c r="H225" t="inlineStr">
        <is>
          <t>2100-01-01</t>
        </is>
      </c>
      <c r="I225" t="inlineStr">
        <is>
          <t>TR3乌拉圭样机SE文档</t>
        </is>
      </c>
      <c r="J225" t="inlineStr">
        <is>
          <t>SE设计</t>
        </is>
      </c>
      <c r="K225" t="inlineStr">
        <is>
          <t>@答金雨(80016793)</t>
        </is>
      </c>
      <c r="L225" t="inlineStr">
        <is>
          <t>2026-08-03</t>
        </is>
      </c>
      <c r="M225" t="inlineStr">
        <is>
          <t>2026-08-07</t>
        </is>
      </c>
      <c r="N225" t="n">
        <v>8</v>
      </c>
      <c r="O225">
        <f>任务计划表!K225</f>
        <v/>
      </c>
      <c r="P225">
        <f>IF(IF(任务计划表!L225="/",人员资源情况!$A$2,L225)&gt;M225,M225,(IF(任务计划表!L225="/",人员资源情况!$A$2,L225)))</f>
        <v/>
      </c>
      <c r="Q225">
        <f>IF(M225="/",人员资源情况!$B$2,任务计划表!M225)</f>
        <v/>
      </c>
      <c r="R225">
        <f>任务计划表!N225</f>
        <v/>
      </c>
      <c r="S225">
        <f>IF(O225=人员资源情况!C$2,1,0)</f>
        <v/>
      </c>
      <c r="T225">
        <f>IF(P225&gt;=人员资源情况!A$2,1,0)</f>
        <v/>
      </c>
      <c r="U225">
        <f>IF(Q225&lt;=人员资源情况!B$2,1,0)</f>
        <v/>
      </c>
      <c r="V225">
        <f>IF(T225*U225,Q225-P225,IF(T225&gt;U225,人员资源情况!B$2-P225,IF(T225&lt;U225,任务计划表!Q225-人员资源情况!A$2,0)))*R225*S225</f>
        <v/>
      </c>
      <c r="W225">
        <f>IF(V225&lt;0,0,V225)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2026-08-03T01:07:38Z</dcterms:modified>
  <cp:lastModifiedBy>项家祺</cp:lastModifiedBy>
</cp:coreProperties>
</file>