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10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E92" t="inlineStr">
        <is>
          <t>亚洲</t>
        </is>
      </c>
      <c r="F92" t="inlineStr">
        <is>
          <t>巴勒斯坦超声户表二开</t>
        </is>
      </c>
      <c r="G92" t="inlineStr">
        <is>
          <t>2026-07-09</t>
        </is>
      </c>
      <c r="H92" t="inlineStr">
        <is>
          <t>2026-08-15</t>
        </is>
      </c>
      <c r="I92" t="inlineStr">
        <is>
          <t>TR1</t>
        </is>
      </c>
      <c r="J92" t="inlineStr">
        <is>
          <t>需求导入</t>
        </is>
      </c>
      <c r="K92" t="inlineStr">
        <is>
          <t>@毛文豪(80018842)</t>
        </is>
      </c>
      <c r="L92" t="inlineStr">
        <is>
          <t>2026-07-09</t>
        </is>
      </c>
      <c r="M92" t="inlineStr">
        <is>
          <t>2026-07-10</t>
        </is>
      </c>
      <c r="N92" t="n">
        <v>0</v>
      </c>
      <c r="O92">
        <f>任务计划表!K92</f>
        <v/>
      </c>
      <c r="P92">
        <f>IF(IF(任务计划表!L92="/",人员资源情况!$A$2,L92)&gt;M92,M92,(IF(任务计划表!L92="/",人员资源情况!$A$2,L92)))</f>
        <v/>
      </c>
      <c r="Q92">
        <f>IF(M92="/",人员资源情况!$B$2,任务计划表!M92)</f>
        <v/>
      </c>
      <c r="R92">
        <f>任务计划表!N92</f>
        <v/>
      </c>
      <c r="S92">
        <f>IF(O92=人员资源情况!C$2,1,0)</f>
        <v/>
      </c>
      <c r="T92">
        <f>IF(P92&gt;=人员资源情况!A$2,1,0)</f>
        <v/>
      </c>
      <c r="U92">
        <f>IF(Q92&lt;=人员资源情况!B$2,1,0)</f>
        <v/>
      </c>
      <c r="V92">
        <f>IF(T92*U92,Q92-P92,IF(T92&gt;U92,人员资源情况!B$2-P92,IF(T92&lt;U92,任务计划表!Q92-人员资源情况!A$2,0)))*R92*S92</f>
        <v/>
      </c>
      <c r="W92">
        <f>IF(V92&lt;0,0,V92)</f>
        <v/>
      </c>
    </row>
    <row r="93">
      <c r="E93" t="inlineStr">
        <is>
          <t>亚洲</t>
        </is>
      </c>
      <c r="F93" t="inlineStr">
        <is>
          <t>巴勒斯坦超声户表二开</t>
        </is>
      </c>
      <c r="G93" t="inlineStr">
        <is>
          <t>2026-07-09</t>
        </is>
      </c>
      <c r="H93" t="inlineStr">
        <is>
          <t>2026-08-15</t>
        </is>
      </c>
      <c r="I93" t="inlineStr">
        <is>
          <t>TR1</t>
        </is>
      </c>
      <c r="J93" t="inlineStr">
        <is>
          <t>需求评审</t>
        </is>
      </c>
      <c r="K93" t="inlineStr">
        <is>
          <t>@毛文豪(80018842)</t>
        </is>
      </c>
      <c r="L93" t="inlineStr">
        <is>
          <t>2026-07-09</t>
        </is>
      </c>
      <c r="M93" t="inlineStr">
        <is>
          <t>2026-07-10</t>
        </is>
      </c>
      <c r="N93" t="n">
        <v>0</v>
      </c>
      <c r="O93">
        <f>任务计划表!K93</f>
        <v/>
      </c>
      <c r="P93">
        <f>IF(IF(任务计划表!L93="/",人员资源情况!$A$2,L93)&gt;M93,M93,(IF(任务计划表!L93="/",人员资源情况!$A$2,L93)))</f>
        <v/>
      </c>
      <c r="Q93">
        <f>IF(M93="/",人员资源情况!$B$2,任务计划表!M93)</f>
        <v/>
      </c>
      <c r="R93">
        <f>任务计划表!N93</f>
        <v/>
      </c>
      <c r="S93">
        <f>IF(O93=人员资源情况!C$2,1,0)</f>
        <v/>
      </c>
      <c r="T93">
        <f>IF(P93&gt;=人员资源情况!A$2,1,0)</f>
        <v/>
      </c>
      <c r="U93">
        <f>IF(Q93&lt;=人员资源情况!B$2,1,0)</f>
        <v/>
      </c>
      <c r="V93">
        <f>IF(T93*U93,Q93-P93,IF(T93&gt;U93,人员资源情况!B$2-P93,IF(T93&lt;U93,任务计划表!Q93-人员资源情况!A$2,0)))*R93*S93</f>
        <v/>
      </c>
      <c r="W93">
        <f>IF(V93&lt;0,0,V93)</f>
        <v/>
      </c>
    </row>
    <row r="94">
      <c r="E94" t="inlineStr">
        <is>
          <t>亚洲</t>
        </is>
      </c>
      <c r="F94" t="inlineStr">
        <is>
          <t>巴勒斯坦超声户表二开</t>
        </is>
      </c>
      <c r="G94" t="inlineStr">
        <is>
          <t>2026-07-09</t>
        </is>
      </c>
      <c r="H94" t="inlineStr">
        <is>
          <t>2026-08-15</t>
        </is>
      </c>
      <c r="I94" t="inlineStr">
        <is>
          <t>TR3</t>
        </is>
      </c>
      <c r="J94" t="inlineStr">
        <is>
          <t>巴勒斯坦二开SE文档评审</t>
        </is>
      </c>
      <c r="K94" t="inlineStr">
        <is>
          <t>@毛文豪(80018842)</t>
        </is>
      </c>
      <c r="L94" t="inlineStr">
        <is>
          <t>2026-07-21</t>
        </is>
      </c>
      <c r="M94" t="inlineStr">
        <is>
          <t>2026-07-23</t>
        </is>
      </c>
      <c r="N94" t="n">
        <v>8</v>
      </c>
      <c r="O94">
        <f>任务计划表!K94</f>
        <v/>
      </c>
      <c r="P94">
        <f>IF(IF(任务计划表!L94="/",人员资源情况!$A$2,L94)&gt;M94,M94,(IF(任务计划表!L94="/",人员资源情况!$A$2,L94)))</f>
        <v/>
      </c>
      <c r="Q94">
        <f>IF(M94="/",人员资源情况!$B$2,任务计划表!M94)</f>
        <v/>
      </c>
      <c r="R94">
        <f>任务计划表!N94</f>
        <v/>
      </c>
      <c r="S94">
        <f>IF(O94=人员资源情况!C$2,1,0)</f>
        <v/>
      </c>
      <c r="T94">
        <f>IF(P94&gt;=人员资源情况!A$2,1,0)</f>
        <v/>
      </c>
      <c r="U94">
        <f>IF(Q94&lt;=人员资源情况!B$2,1,0)</f>
        <v/>
      </c>
      <c r="V94">
        <f>IF(T94*U94,Q94-P94,IF(T94&gt;U94,人员资源情况!B$2-P94,IF(T94&lt;U94,任务计划表!Q94-人员资源情况!A$2,0)))*R94*S94</f>
        <v/>
      </c>
      <c r="W94">
        <f>IF(V94&lt;0,0,V94)</f>
        <v/>
      </c>
    </row>
    <row r="95">
      <c r="E95" t="inlineStr">
        <is>
          <t>亚洲</t>
        </is>
      </c>
      <c r="F95" t="inlineStr">
        <is>
          <t>巴勒斯坦超声户表二开</t>
        </is>
      </c>
      <c r="G95" t="inlineStr">
        <is>
          <t>2026-07-09</t>
        </is>
      </c>
      <c r="H95" t="inlineStr">
        <is>
          <t>2026-08-15</t>
        </is>
      </c>
      <c r="I95" t="inlineStr">
        <is>
          <t>TR4</t>
        </is>
      </c>
      <c r="J95" t="inlineStr">
        <is>
          <t>水表固件代码编写</t>
        </is>
      </c>
      <c r="K95" t="inlineStr">
        <is>
          <t>@毛文豪(80018842)</t>
        </is>
      </c>
      <c r="L95" t="inlineStr">
        <is>
          <t>2026-07-23</t>
        </is>
      </c>
      <c r="M95" t="inlineStr">
        <is>
          <t>2026-07-25</t>
        </is>
      </c>
      <c r="N95" t="n">
        <v>6</v>
      </c>
      <c r="O95">
        <f>任务计划表!K95</f>
        <v/>
      </c>
      <c r="P95">
        <f>IF(IF(任务计划表!L95="/",人员资源情况!$A$2,L95)&gt;M95,M95,(IF(任务计划表!L95="/",人员资源情况!$A$2,L95)))</f>
        <v/>
      </c>
      <c r="Q95">
        <f>IF(M95="/",人员资源情况!$B$2,任务计划表!M95)</f>
        <v/>
      </c>
      <c r="R95">
        <f>任务计划表!N95</f>
        <v/>
      </c>
      <c r="S95">
        <f>IF(O95=人员资源情况!C$2,1,0)</f>
        <v/>
      </c>
      <c r="T95">
        <f>IF(P95&gt;=人员资源情况!A$2,1,0)</f>
        <v/>
      </c>
      <c r="U95">
        <f>IF(Q95&lt;=人员资源情况!B$2,1,0)</f>
        <v/>
      </c>
      <c r="V95">
        <f>IF(T95*U95,Q95-P95,IF(T95&gt;U95,人员资源情况!B$2-P95,IF(T95&lt;U95,任务计划表!Q95-人员资源情况!A$2,0)))*R95*S95</f>
        <v/>
      </c>
      <c r="W95">
        <f>IF(V95&lt;0,0,V95)</f>
        <v/>
      </c>
    </row>
    <row r="96">
      <c r="E96" t="inlineStr">
        <is>
          <t>亚洲</t>
        </is>
      </c>
      <c r="F96" t="inlineStr">
        <is>
          <t>巴勒斯坦超声户表二开</t>
        </is>
      </c>
      <c r="G96" t="inlineStr">
        <is>
          <t>2026-07-09</t>
        </is>
      </c>
      <c r="H96" t="inlineStr">
        <is>
          <t>2026-08-15</t>
        </is>
      </c>
      <c r="I96" t="inlineStr">
        <is>
          <t>TR4</t>
        </is>
      </c>
      <c r="J96" t="inlineStr">
        <is>
          <t>水表固件自测</t>
        </is>
      </c>
      <c r="K96" t="inlineStr">
        <is>
          <t>@毛文豪(80018842)</t>
        </is>
      </c>
      <c r="L96" t="inlineStr">
        <is>
          <t>2026-07-27</t>
        </is>
      </c>
      <c r="M96" t="inlineStr">
        <is>
          <t>2026-07-29</t>
        </is>
      </c>
      <c r="N96" t="n">
        <v>6</v>
      </c>
      <c r="O96">
        <f>任务计划表!K96</f>
        <v/>
      </c>
      <c r="P96">
        <f>IF(IF(任务计划表!L96="/",人员资源情况!$A$2,L96)&gt;M96,M96,(IF(任务计划表!L96="/",人员资源情况!$A$2,L96)))</f>
        <v/>
      </c>
      <c r="Q96">
        <f>IF(M96="/",人员资源情况!$B$2,任务计划表!M96)</f>
        <v/>
      </c>
      <c r="R96">
        <f>任务计划表!N96</f>
        <v/>
      </c>
      <c r="S96">
        <f>IF(O96=人员资源情况!C$2,1,0)</f>
        <v/>
      </c>
      <c r="T96">
        <f>IF(P96&gt;=人员资源情况!A$2,1,0)</f>
        <v/>
      </c>
      <c r="U96">
        <f>IF(Q96&lt;=人员资源情况!B$2,1,0)</f>
        <v/>
      </c>
      <c r="V96">
        <f>IF(T96*U96,Q96-P96,IF(T96&gt;U96,人员资源情况!B$2-P96,IF(T96&lt;U96,任务计划表!Q96-人员资源情况!A$2,0)))*R96*S96</f>
        <v/>
      </c>
      <c r="W96">
        <f>IF(V96&lt;0,0,V96)</f>
        <v/>
      </c>
    </row>
    <row r="97">
      <c r="E97" t="inlineStr">
        <is>
          <t>亚洲</t>
        </is>
      </c>
      <c r="F97" t="inlineStr">
        <is>
          <t>巴勒斯坦超声户表二开</t>
        </is>
      </c>
      <c r="G97" t="inlineStr">
        <is>
          <t>2026-07-09</t>
        </is>
      </c>
      <c r="H97" t="inlineStr">
        <is>
          <t>2026-08-15</t>
        </is>
      </c>
      <c r="I97" t="inlineStr">
        <is>
          <t>TR4</t>
        </is>
      </c>
      <c r="J97" t="inlineStr">
        <is>
          <t>CIU固件代码编写</t>
        </is>
      </c>
      <c r="K97" t="inlineStr">
        <is>
          <t>@毛文豪(80018842)</t>
        </is>
      </c>
      <c r="L97" t="inlineStr">
        <is>
          <t>2026-07-29</t>
        </is>
      </c>
      <c r="M97" t="inlineStr">
        <is>
          <t>2026-07-30</t>
        </is>
      </c>
      <c r="N97" t="n">
        <v>6</v>
      </c>
      <c r="O97">
        <f>任务计划表!K97</f>
        <v/>
      </c>
      <c r="P97">
        <f>IF(IF(任务计划表!L97="/",人员资源情况!$A$2,L97)&gt;M97,M97,(IF(任务计划表!L97="/",人员资源情况!$A$2,L97)))</f>
        <v/>
      </c>
      <c r="Q97">
        <f>IF(M97="/",人员资源情况!$B$2,任务计划表!M97)</f>
        <v/>
      </c>
      <c r="R97">
        <f>任务计划表!N97</f>
        <v/>
      </c>
      <c r="S97">
        <f>IF(O97=人员资源情况!C$2,1,0)</f>
        <v/>
      </c>
      <c r="T97">
        <f>IF(P97&gt;=人员资源情况!A$2,1,0)</f>
        <v/>
      </c>
      <c r="U97">
        <f>IF(Q97&lt;=人员资源情况!B$2,1,0)</f>
        <v/>
      </c>
      <c r="V97">
        <f>IF(T97*U97,Q97-P97,IF(T97&gt;U97,人员资源情况!B$2-P97,IF(T97&lt;U97,任务计划表!Q97-人员资源情况!A$2,0)))*R97*S97</f>
        <v/>
      </c>
      <c r="W97">
        <f>IF(V97&lt;0,0,V97)</f>
        <v/>
      </c>
    </row>
    <row r="98">
      <c r="E98" t="inlineStr">
        <is>
          <t>亚洲</t>
        </is>
      </c>
      <c r="F98" t="inlineStr">
        <is>
          <t>巴勒斯坦超声户表二开</t>
        </is>
      </c>
      <c r="G98" t="inlineStr">
        <is>
          <t>2026-07-09</t>
        </is>
      </c>
      <c r="H98" t="inlineStr">
        <is>
          <t>2026-08-15</t>
        </is>
      </c>
      <c r="I98" t="inlineStr">
        <is>
          <t>TR4A</t>
        </is>
      </c>
      <c r="J98" t="inlineStr">
        <is>
          <t>样机制作</t>
        </is>
      </c>
      <c r="K98" t="inlineStr">
        <is>
          <t xml:space="preserve"> @文春英</t>
        </is>
      </c>
      <c r="L98" t="inlineStr">
        <is>
          <t>2026-07-30</t>
        </is>
      </c>
      <c r="M98" t="inlineStr">
        <is>
          <t>2026-08-03</t>
        </is>
      </c>
      <c r="N98" t="n">
        <v>2</v>
      </c>
      <c r="O98">
        <f>任务计划表!K98</f>
        <v/>
      </c>
      <c r="P98">
        <f>IF(IF(任务计划表!L98="/",人员资源情况!$A$2,L98)&gt;M98,M98,(IF(任务计划表!L98="/",人员资源情况!$A$2,L98)))</f>
        <v/>
      </c>
      <c r="Q98">
        <f>IF(M98="/",人员资源情况!$B$2,任务计划表!M98)</f>
        <v/>
      </c>
      <c r="R98">
        <f>任务计划表!N98</f>
        <v/>
      </c>
      <c r="S98">
        <f>IF(O98=人员资源情况!C$2,1,0)</f>
        <v/>
      </c>
      <c r="T98">
        <f>IF(P98&gt;=人员资源情况!A$2,1,0)</f>
        <v/>
      </c>
      <c r="U98">
        <f>IF(Q98&lt;=人员资源情况!B$2,1,0)</f>
        <v/>
      </c>
      <c r="V98">
        <f>IF(T98*U98,Q98-P98,IF(T98&gt;U98,人员资源情况!B$2-P98,IF(T98&lt;U98,任务计划表!Q98-人员资源情况!A$2,0)))*R98*S98</f>
        <v/>
      </c>
      <c r="W98">
        <f>IF(V98&lt;0,0,V98)</f>
        <v/>
      </c>
    </row>
    <row r="99">
      <c r="E99" t="inlineStr">
        <is>
          <t>亚洲</t>
        </is>
      </c>
      <c r="F99" t="inlineStr">
        <is>
          <t>巴勒斯坦超声户表二开</t>
        </is>
      </c>
      <c r="G99" t="inlineStr">
        <is>
          <t>2026-07-09</t>
        </is>
      </c>
      <c r="H99" t="inlineStr">
        <is>
          <t>2026-08-15</t>
        </is>
      </c>
      <c r="I99" t="inlineStr">
        <is>
          <t>TR4</t>
        </is>
      </c>
      <c r="J99" t="inlineStr">
        <is>
          <t>测试用例评审</t>
        </is>
      </c>
      <c r="K99" t="inlineStr">
        <is>
          <t xml:space="preserve"> @袁知正</t>
        </is>
      </c>
      <c r="L99" t="inlineStr">
        <is>
          <t>2026-07-23</t>
        </is>
      </c>
      <c r="M99" t="inlineStr">
        <is>
          <t>2026-07-29</t>
        </is>
      </c>
      <c r="N99" t="n">
        <v>2</v>
      </c>
      <c r="O99">
        <f>任务计划表!K99</f>
        <v/>
      </c>
      <c r="P99">
        <f>IF(IF(任务计划表!L99="/",人员资源情况!$A$2,L99)&gt;M99,M99,(IF(任务计划表!L99="/",人员资源情况!$A$2,L99)))</f>
        <v/>
      </c>
      <c r="Q99">
        <f>IF(M99="/",人员资源情况!$B$2,任务计划表!M99)</f>
        <v/>
      </c>
      <c r="R99">
        <f>任务计划表!N99</f>
        <v/>
      </c>
      <c r="S99">
        <f>IF(O99=人员资源情况!C$2,1,0)</f>
        <v/>
      </c>
      <c r="T99">
        <f>IF(P99&gt;=人员资源情况!A$2,1,0)</f>
        <v/>
      </c>
      <c r="U99">
        <f>IF(Q99&lt;=人员资源情况!B$2,1,0)</f>
        <v/>
      </c>
      <c r="V99">
        <f>IF(T99*U99,Q99-P99,IF(T99&gt;U99,人员资源情况!B$2-P99,IF(T99&lt;U99,任务计划表!Q99-人员资源情况!A$2,0)))*R99*S99</f>
        <v/>
      </c>
      <c r="W99">
        <f>IF(V99&lt;0,0,V99)</f>
        <v/>
      </c>
    </row>
    <row r="100">
      <c r="E100" t="inlineStr">
        <is>
          <t>亚洲</t>
        </is>
      </c>
      <c r="F100" t="inlineStr">
        <is>
          <t>巴勒斯坦超声户表二开</t>
        </is>
      </c>
      <c r="G100" t="inlineStr">
        <is>
          <t>2026-07-09</t>
        </is>
      </c>
      <c r="H100" t="inlineStr">
        <is>
          <t>2026-08-15</t>
        </is>
      </c>
      <c r="I100" t="inlineStr">
        <is>
          <t>TR4A</t>
        </is>
      </c>
      <c r="J100" t="inlineStr">
        <is>
          <t>测试报告</t>
        </is>
      </c>
      <c r="K100" t="inlineStr">
        <is>
          <t>@袁知正</t>
        </is>
      </c>
      <c r="L100" t="inlineStr">
        <is>
          <t>2026-07-30</t>
        </is>
      </c>
      <c r="M100" t="inlineStr">
        <is>
          <t>2026-08-12</t>
        </is>
      </c>
      <c r="N100" t="n">
        <v>8</v>
      </c>
      <c r="O100">
        <f>任务计划表!K100</f>
        <v/>
      </c>
      <c r="P100">
        <f>IF(IF(任务计划表!L100="/",人员资源情况!$A$2,L100)&gt;M100,M100,(IF(任务计划表!L100="/",人员资源情况!$A$2,L100)))</f>
        <v/>
      </c>
      <c r="Q100">
        <f>IF(M100="/",人员资源情况!$B$2,任务计划表!M100)</f>
        <v/>
      </c>
      <c r="R100">
        <f>任务计划表!N100</f>
        <v/>
      </c>
      <c r="S100">
        <f>IF(O100=人员资源情况!C$2,1,0)</f>
        <v/>
      </c>
      <c r="T100">
        <f>IF(P100&gt;=人员资源情况!A$2,1,0)</f>
        <v/>
      </c>
      <c r="U100">
        <f>IF(Q100&lt;=人员资源情况!B$2,1,0)</f>
        <v/>
      </c>
      <c r="V100">
        <f>IF(T100*U100,Q100-P100,IF(T100&gt;U100,人员资源情况!B$2-P100,IF(T100&lt;U100,任务计划表!Q100-人员资源情况!A$2,0)))*R100*S100</f>
        <v/>
      </c>
      <c r="W100">
        <f>IF(V100&lt;0,0,V100)</f>
        <v/>
      </c>
    </row>
    <row r="101">
      <c r="E101" t="inlineStr">
        <is>
          <t>亚洲</t>
        </is>
      </c>
      <c r="F101" t="inlineStr">
        <is>
          <t>巴勒斯坦超声户表二开</t>
        </is>
      </c>
      <c r="G101" t="inlineStr">
        <is>
          <t>2026-07-09</t>
        </is>
      </c>
      <c r="H101" t="inlineStr">
        <is>
          <t>2026-08-15</t>
        </is>
      </c>
      <c r="I101" t="inlineStr">
        <is>
          <t>TR4A</t>
        </is>
      </c>
      <c r="J101" t="inlineStr">
        <is>
          <t>测试报告评审</t>
        </is>
      </c>
      <c r="K101" t="inlineStr">
        <is>
          <t>@袁知正</t>
        </is>
      </c>
      <c r="L101" t="inlineStr">
        <is>
          <t>2026-08-12</t>
        </is>
      </c>
      <c r="M101" t="inlineStr">
        <is>
          <t>2026-08-13</t>
        </is>
      </c>
      <c r="N101" t="n">
        <v>1</v>
      </c>
      <c r="O101">
        <f>任务计划表!K101</f>
        <v/>
      </c>
      <c r="P101">
        <f>IF(IF(任务计划表!L101="/",人员资源情况!$A$2,L101)&gt;M101,M101,(IF(任务计划表!L101="/",人员资源情况!$A$2,L101)))</f>
        <v/>
      </c>
      <c r="Q101">
        <f>IF(M101="/",人员资源情况!$B$2,任务计划表!M101)</f>
        <v/>
      </c>
      <c r="R101">
        <f>任务计划表!N101</f>
        <v/>
      </c>
      <c r="S101">
        <f>IF(O101=人员资源情况!C$2,1,0)</f>
        <v/>
      </c>
      <c r="T101">
        <f>IF(P101&gt;=人员资源情况!A$2,1,0)</f>
        <v/>
      </c>
      <c r="U101">
        <f>IF(Q101&lt;=人员资源情况!B$2,1,0)</f>
        <v/>
      </c>
      <c r="V101">
        <f>IF(T101*U101,Q101-P101,IF(T101&gt;U101,人员资源情况!B$2-P101,IF(T101&lt;U101,任务计划表!Q101-人员资源情况!A$2,0)))*R101*S101</f>
        <v/>
      </c>
      <c r="W101">
        <f>IF(V101&lt;0,0,V101)</f>
        <v/>
      </c>
    </row>
    <row r="102">
      <c r="E102" t="inlineStr">
        <is>
          <t>亚洲</t>
        </is>
      </c>
      <c r="F102" t="inlineStr">
        <is>
          <t>巴勒斯坦超声户表二开</t>
        </is>
      </c>
      <c r="G102" t="inlineStr">
        <is>
          <t>2026-07-09</t>
        </is>
      </c>
      <c r="H102" t="inlineStr">
        <is>
          <t>2026-08-15</t>
        </is>
      </c>
      <c r="I102" t="inlineStr">
        <is>
          <t>TR5</t>
        </is>
      </c>
      <c r="J102" t="inlineStr">
        <is>
          <t>生产工艺及规程制定</t>
        </is>
      </c>
      <c r="K102" t="inlineStr">
        <is>
          <t xml:space="preserve"> @肖庆阳</t>
        </is>
      </c>
      <c r="L102" t="inlineStr">
        <is>
          <t>2026-08-13</t>
        </is>
      </c>
      <c r="M102" t="inlineStr">
        <is>
          <t>2026-08-14</t>
        </is>
      </c>
      <c r="N102" t="n">
        <v>8</v>
      </c>
      <c r="O102">
        <f>任务计划表!K102</f>
        <v/>
      </c>
      <c r="P102">
        <f>IF(IF(任务计划表!L102="/",人员资源情况!$A$2,L102)&gt;M102,M102,(IF(任务计划表!L102="/",人员资源情况!$A$2,L102)))</f>
        <v/>
      </c>
      <c r="Q102">
        <f>IF(M102="/",人员资源情况!$B$2,任务计划表!M102)</f>
        <v/>
      </c>
      <c r="R102">
        <f>任务计划表!N102</f>
        <v/>
      </c>
      <c r="S102">
        <f>IF(O102=人员资源情况!C$2,1,0)</f>
        <v/>
      </c>
      <c r="T102">
        <f>IF(P102&gt;=人员资源情况!A$2,1,0)</f>
        <v/>
      </c>
      <c r="U102">
        <f>IF(Q102&lt;=人员资源情况!B$2,1,0)</f>
        <v/>
      </c>
      <c r="V102">
        <f>IF(T102*U102,Q102-P102,IF(T102&gt;U102,人员资源情况!B$2-P102,IF(T102&lt;U102,任务计划表!Q102-人员资源情况!A$2,0)))*R102*S102</f>
        <v/>
      </c>
      <c r="W102">
        <f>IF(V102&lt;0,0,V102)</f>
        <v/>
      </c>
    </row>
    <row r="103">
      <c r="E103" t="inlineStr">
        <is>
          <t>亚洲</t>
        </is>
      </c>
      <c r="F103" t="inlineStr">
        <is>
          <t>巴勒斯坦超声户表二开</t>
        </is>
      </c>
      <c r="G103" t="inlineStr">
        <is>
          <t>2026-07-09</t>
        </is>
      </c>
      <c r="H103" t="inlineStr">
        <is>
          <t>2026-08-15</t>
        </is>
      </c>
      <c r="I103" t="inlineStr">
        <is>
          <t>TR5</t>
        </is>
      </c>
      <c r="J103" t="inlineStr">
        <is>
          <t>产品参数配置表</t>
        </is>
      </c>
      <c r="K103" t="inlineStr">
        <is>
          <t>@毛文豪(80018842)</t>
        </is>
      </c>
      <c r="L103" t="inlineStr">
        <is>
          <t>2026-08-13</t>
        </is>
      </c>
      <c r="M103" t="inlineStr">
        <is>
          <t>2026-08-14</t>
        </is>
      </c>
      <c r="N103" t="n">
        <v>2</v>
      </c>
      <c r="O103">
        <f>任务计划表!K103</f>
        <v/>
      </c>
      <c r="P103">
        <f>IF(IF(任务计划表!L103="/",人员资源情况!$A$2,L103)&gt;M103,M103,(IF(任务计划表!L103="/",人员资源情况!$A$2,L103)))</f>
        <v/>
      </c>
      <c r="Q103">
        <f>IF(M103="/",人员资源情况!$B$2,任务计划表!M103)</f>
        <v/>
      </c>
      <c r="R103">
        <f>任务计划表!N103</f>
        <v/>
      </c>
      <c r="S103">
        <f>IF(O103=人员资源情况!C$2,1,0)</f>
        <v/>
      </c>
      <c r="T103">
        <f>IF(P103&gt;=人员资源情况!A$2,1,0)</f>
        <v/>
      </c>
      <c r="U103">
        <f>IF(Q103&lt;=人员资源情况!B$2,1,0)</f>
        <v/>
      </c>
      <c r="V103">
        <f>IF(T103*U103,Q103-P103,IF(T103&gt;U103,人员资源情况!B$2-P103,IF(T103&lt;U103,任务计划表!Q103-人员资源情况!A$2,0)))*R103*S103</f>
        <v/>
      </c>
      <c r="W103">
        <f>IF(V103&lt;0,0,V103)</f>
        <v/>
      </c>
    </row>
    <row r="104">
      <c r="E104" t="inlineStr">
        <is>
          <t>亚洲</t>
        </is>
      </c>
      <c r="F104" t="inlineStr">
        <is>
          <t>巴勒斯坦超声户表二开</t>
        </is>
      </c>
      <c r="G104" t="inlineStr">
        <is>
          <t>2026-07-09</t>
        </is>
      </c>
      <c r="H104" t="inlineStr">
        <is>
          <t>2026-08-15</t>
        </is>
      </c>
      <c r="I104" t="inlineStr">
        <is>
          <t>TR5</t>
        </is>
      </c>
      <c r="J104" t="inlineStr">
        <is>
          <t>生产资料归档</t>
        </is>
      </c>
      <c r="K104" t="inlineStr">
        <is>
          <t>@肖庆阳</t>
        </is>
      </c>
      <c r="L104" t="inlineStr">
        <is>
          <t>2026-08-14</t>
        </is>
      </c>
      <c r="M104" t="inlineStr">
        <is>
          <t>2026-08-15</t>
        </is>
      </c>
      <c r="N104" t="n">
        <v>8</v>
      </c>
      <c r="O104">
        <f>任务计划表!K104</f>
        <v/>
      </c>
      <c r="P104">
        <f>IF(IF(任务计划表!L104="/",人员资源情况!$A$2,L104)&gt;M104,M104,(IF(任务计划表!L104="/",人员资源情况!$A$2,L104)))</f>
        <v/>
      </c>
      <c r="Q104">
        <f>IF(M104="/",人员资源情况!$B$2,任务计划表!M104)</f>
        <v/>
      </c>
      <c r="R104">
        <f>任务计划表!N104</f>
        <v/>
      </c>
      <c r="S104">
        <f>IF(O104=人员资源情况!C$2,1,0)</f>
        <v/>
      </c>
      <c r="T104">
        <f>IF(P104&gt;=人员资源情况!A$2,1,0)</f>
        <v/>
      </c>
      <c r="U104">
        <f>IF(Q104&lt;=人员资源情况!B$2,1,0)</f>
        <v/>
      </c>
      <c r="V104">
        <f>IF(T104*U104,Q104-P104,IF(T104&gt;U104,人员资源情况!B$2-P104,IF(T104&lt;U104,任务计划表!Q104-人员资源情况!A$2,0)))*R104*S104</f>
        <v/>
      </c>
      <c r="W104">
        <f>IF(V104&lt;0,0,V104)</f>
        <v/>
      </c>
    </row>
    <row r="105">
      <c r="E105" t="inlineStr">
        <is>
          <t>亚洲</t>
        </is>
      </c>
      <c r="F105" t="inlineStr">
        <is>
          <t>巴勒斯坦超声户表二开</t>
        </is>
      </c>
      <c r="G105" t="inlineStr">
        <is>
          <t>2026-07-09</t>
        </is>
      </c>
      <c r="H105" t="inlineStr">
        <is>
          <t>2026-08-15</t>
        </is>
      </c>
      <c r="I105" t="inlineStr">
        <is>
          <t>TR5</t>
        </is>
      </c>
      <c r="J105" t="inlineStr">
        <is>
          <t>项目结项评审</t>
        </is>
      </c>
      <c r="K105" t="inlineStr">
        <is>
          <t>@毛文豪(80018842)</t>
        </is>
      </c>
      <c r="L105" t="inlineStr">
        <is>
          <t>2026-08-14</t>
        </is>
      </c>
      <c r="M105" t="inlineStr">
        <is>
          <t>2026-08-15</t>
        </is>
      </c>
      <c r="N105" t="n">
        <v>1</v>
      </c>
      <c r="O105">
        <f>任务计划表!K105</f>
        <v/>
      </c>
      <c r="P105">
        <f>IF(IF(任务计划表!L105="/",人员资源情况!$A$2,L105)&gt;M105,M105,(IF(任务计划表!L105="/",人员资源情况!$A$2,L105)))</f>
        <v/>
      </c>
      <c r="Q105">
        <f>IF(M105="/",人员资源情况!$B$2,任务计划表!M105)</f>
        <v/>
      </c>
      <c r="R105">
        <f>任务计划表!N105</f>
        <v/>
      </c>
      <c r="S105">
        <f>IF(O105=人员资源情况!C$2,1,0)</f>
        <v/>
      </c>
      <c r="T105">
        <f>IF(P105&gt;=人员资源情况!A$2,1,0)</f>
        <v/>
      </c>
      <c r="U105">
        <f>IF(Q105&lt;=人员资源情况!B$2,1,0)</f>
        <v/>
      </c>
      <c r="V105">
        <f>IF(T105*U105,Q105-P105,IF(T105&gt;U105,人员资源情况!B$2-P105,IF(T105&lt;U105,任务计划表!Q105-人员资源情况!A$2,0)))*R105*S105</f>
        <v/>
      </c>
      <c r="W105">
        <f>IF(V105&lt;0,0,V105)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2026-07-23T02:02:26Z</dcterms:modified>
  <cp:lastModifiedBy>项家祺</cp:lastModifiedBy>
</cp:coreProperties>
</file>