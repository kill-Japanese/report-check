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7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A76" s="0" t="inlineStr">
        <is>
          <t>已归档</t>
        </is>
      </c>
      <c r="E76" s="0" t="inlineStr">
        <is>
          <t>亚洲</t>
        </is>
      </c>
      <c r="F76" s="0" t="inlineStr">
        <is>
          <t>巴勒斯坦超声户表二开</t>
        </is>
      </c>
      <c r="G76" s="0" t="inlineStr">
        <is>
          <t>2026-07-09</t>
        </is>
      </c>
      <c r="H76" s="0" t="inlineStr">
        <is>
          <t>2026-08-15</t>
        </is>
      </c>
      <c r="I76" s="0" t="inlineStr">
        <is>
          <t>TR1</t>
        </is>
      </c>
      <c r="J76" s="0" t="inlineStr">
        <is>
          <t>需求导入</t>
        </is>
      </c>
      <c r="K76" s="0" t="inlineStr">
        <is>
          <t>@毛文豪(80018842)</t>
        </is>
      </c>
      <c r="L76" s="0" t="inlineStr">
        <is>
          <t>2026-07-09</t>
        </is>
      </c>
      <c r="M76" s="0" t="inlineStr">
        <is>
          <t>2026-07-10</t>
        </is>
      </c>
      <c r="N76" s="0" t="n">
        <v>0</v>
      </c>
      <c r="O76" s="0">
        <f>任务计划表!K148</f>
        <v/>
      </c>
      <c r="P76" s="0">
        <f>IF(IF(任务计划表!L148="/",人员资源情况!$A$2,L148)&gt;M148,M148,(IF(任务计划表!L148="/",人员资源情况!$A$2,L148)))</f>
        <v/>
      </c>
      <c r="Q76" s="0">
        <f>IF(M148="/",人员资源情况!$B$2,任务计划表!M148)</f>
        <v/>
      </c>
      <c r="R76" s="0">
        <f>任务计划表!N148</f>
        <v/>
      </c>
      <c r="S76" s="0">
        <f>IF(O148=人员资源情况!C$2,1,0)</f>
        <v/>
      </c>
      <c r="T76" s="0">
        <f>IF(P148&gt;=人员资源情况!A$2,1,0)</f>
        <v/>
      </c>
      <c r="U76" s="0">
        <f>IF(Q148&lt;=人员资源情况!B$2,1,0)</f>
        <v/>
      </c>
      <c r="V76" s="0">
        <f>IF(T148*U148,Q148-P148,IF(T148&gt;U148,人员资源情况!B$2-P148,IF(T148&lt;U148,任务计划表!Q148-人员资源情况!A$2,0)))*R148*S148</f>
        <v/>
      </c>
      <c r="W76" s="0">
        <f>IF(V148&lt;0,0,V148)</f>
        <v/>
      </c>
    </row>
    <row r="77">
      <c r="A77" s="0" t="inlineStr">
        <is>
          <t>已归档</t>
        </is>
      </c>
      <c r="E77" s="0" t="inlineStr">
        <is>
          <t>亚洲</t>
        </is>
      </c>
      <c r="F77" s="0" t="inlineStr">
        <is>
          <t>巴勒斯坦超声户表二开</t>
        </is>
      </c>
      <c r="G77" s="0" t="inlineStr">
        <is>
          <t>2026-07-09</t>
        </is>
      </c>
      <c r="H77" s="0" t="inlineStr">
        <is>
          <t>2026-08-15</t>
        </is>
      </c>
      <c r="I77" s="0" t="inlineStr">
        <is>
          <t>TR1</t>
        </is>
      </c>
      <c r="J77" s="0" t="inlineStr">
        <is>
          <t>需求评审</t>
        </is>
      </c>
      <c r="K77" s="0" t="inlineStr">
        <is>
          <t>@毛文豪(80018842)</t>
        </is>
      </c>
      <c r="L77" s="0" t="inlineStr">
        <is>
          <t>2026-07-09</t>
        </is>
      </c>
      <c r="M77" s="0" t="inlineStr">
        <is>
          <t>2026-07-10</t>
        </is>
      </c>
      <c r="N77" s="0" t="n">
        <v>0</v>
      </c>
      <c r="O77" s="0">
        <f>任务计划表!K149</f>
        <v/>
      </c>
      <c r="P77" s="0">
        <f>IF(IF(任务计划表!L149="/",人员资源情况!$A$2,L149)&gt;M149,M149,(IF(任务计划表!L149="/",人员资源情况!$A$2,L149)))</f>
        <v/>
      </c>
      <c r="Q77" s="0">
        <f>IF(M149="/",人员资源情况!$B$2,任务计划表!M149)</f>
        <v/>
      </c>
      <c r="R77" s="0">
        <f>任务计划表!N149</f>
        <v/>
      </c>
      <c r="S77" s="0">
        <f>IF(O149=人员资源情况!C$2,1,0)</f>
        <v/>
      </c>
      <c r="T77" s="0">
        <f>IF(P149&gt;=人员资源情况!A$2,1,0)</f>
        <v/>
      </c>
      <c r="U77" s="0">
        <f>IF(Q149&lt;=人员资源情况!B$2,1,0)</f>
        <v/>
      </c>
      <c r="V77" s="0">
        <f>IF(T149*U149,Q149-P149,IF(T149&gt;U149,人员资源情况!B$2-P149,IF(T149&lt;U149,任务计划表!Q149-人员资源情况!A$2,0)))*R149*S149</f>
        <v/>
      </c>
      <c r="W77" s="0">
        <f>IF(V149&lt;0,0,V149)</f>
        <v/>
      </c>
    </row>
    <row r="78">
      <c r="A78" s="0" t="inlineStr">
        <is>
          <t>已归档</t>
        </is>
      </c>
      <c r="E78" s="0" t="inlineStr">
        <is>
          <t>亚洲</t>
        </is>
      </c>
      <c r="F78" s="0" t="inlineStr">
        <is>
          <t>巴勒斯坦超声户表二开</t>
        </is>
      </c>
      <c r="G78" s="0" t="inlineStr">
        <is>
          <t>2026-07-09</t>
        </is>
      </c>
      <c r="H78" s="0" t="inlineStr">
        <is>
          <t>2026-08-15</t>
        </is>
      </c>
      <c r="I78" s="0" t="inlineStr">
        <is>
          <t>TR3</t>
        </is>
      </c>
      <c r="J78" s="0" t="inlineStr">
        <is>
          <t>巴勒斯坦二开SE文档评审</t>
        </is>
      </c>
      <c r="K78" s="0" t="inlineStr">
        <is>
          <t>@毛文豪(80018842)</t>
        </is>
      </c>
      <c r="L78" s="0" t="inlineStr">
        <is>
          <t>2026-07-21</t>
        </is>
      </c>
      <c r="M78" s="0" t="inlineStr">
        <is>
          <t>2026-07-23</t>
        </is>
      </c>
      <c r="N78" s="0" t="n">
        <v>8</v>
      </c>
      <c r="O78" s="0">
        <f>任务计划表!K150</f>
        <v/>
      </c>
      <c r="P78" s="0">
        <f>IF(IF(任务计划表!L150="/",人员资源情况!$A$2,L150)&gt;M150,M150,(IF(任务计划表!L150="/",人员资源情况!$A$2,L150)))</f>
        <v/>
      </c>
      <c r="Q78" s="0">
        <f>IF(M150="/",人员资源情况!$B$2,任务计划表!M150)</f>
        <v/>
      </c>
      <c r="R78" s="0">
        <f>任务计划表!N150</f>
        <v/>
      </c>
      <c r="S78" s="0">
        <f>IF(O150=人员资源情况!C$2,1,0)</f>
        <v/>
      </c>
      <c r="T78" s="0">
        <f>IF(P150&gt;=人员资源情况!A$2,1,0)</f>
        <v/>
      </c>
      <c r="U78" s="0">
        <f>IF(Q150&lt;=人员资源情况!B$2,1,0)</f>
        <v/>
      </c>
      <c r="V78" s="0">
        <f>IF(T150*U150,Q150-P150,IF(T150&gt;U150,人员资源情况!B$2-P150,IF(T150&lt;U150,任务计划表!Q150-人员资源情况!A$2,0)))*R150*S150</f>
        <v/>
      </c>
      <c r="W78" s="0">
        <f>IF(V150&lt;0,0,V150)</f>
        <v/>
      </c>
      <c r="X78" s="0" t="inlineStr"/>
      <c r="Y78" s="0" t="inlineStr"/>
      <c r="Z78" s="0" t="inlineStr"/>
      <c r="AA78" s="0" t="inlineStr"/>
    </row>
    <row r="79">
      <c r="E79" s="0" t="inlineStr">
        <is>
          <t>亚洲</t>
        </is>
      </c>
      <c r="F79" s="0" t="inlineStr">
        <is>
          <t>巴勒斯坦超声户表二开</t>
        </is>
      </c>
      <c r="G79" s="0" t="inlineStr">
        <is>
          <t>2026-07-09</t>
        </is>
      </c>
      <c r="H79" s="0" t="inlineStr">
        <is>
          <t>2026-08-15</t>
        </is>
      </c>
      <c r="I79" s="0" t="inlineStr">
        <is>
          <t>TR4</t>
        </is>
      </c>
      <c r="J79" s="0" t="inlineStr">
        <is>
          <t>水表固件代码编写</t>
        </is>
      </c>
      <c r="K79" s="0" t="inlineStr">
        <is>
          <t>毛文豪</t>
        </is>
      </c>
      <c r="L79" s="0" t="inlineStr">
        <is>
          <t>2026-07-23</t>
        </is>
      </c>
      <c r="M79" s="0" t="inlineStr">
        <is>
          <t>2026-07-31</t>
        </is>
      </c>
      <c r="N79" s="0" t="n">
        <v>6</v>
      </c>
      <c r="O79" s="0">
        <f>任务计划表!K151</f>
        <v/>
      </c>
      <c r="P79" s="0">
        <f>IF(IF(任务计划表!L151="/",人员资源情况!$A$2,L151)&gt;M151,M151,(IF(任务计划表!L151="/",人员资源情况!$A$2,L151)))</f>
        <v/>
      </c>
      <c r="Q79" s="0">
        <f>IF(M151="/",人员资源情况!$B$2,任务计划表!M151)</f>
        <v/>
      </c>
      <c r="R79" s="0">
        <f>任务计划表!N151</f>
        <v/>
      </c>
      <c r="S79" s="0">
        <f>IF(O151=人员资源情况!C$2,1,0)</f>
        <v/>
      </c>
      <c r="T79" s="0">
        <f>IF(P151&gt;=人员资源情况!A$2,1,0)</f>
        <v/>
      </c>
      <c r="U79" s="0">
        <f>IF(Q151&lt;=人员资源情况!B$2,1,0)</f>
        <v/>
      </c>
      <c r="V79" s="0">
        <f>IF(T151*U151,Q151-P151,IF(T151&gt;U151,人员资源情况!B$2-P151,IF(T151&lt;U151,任务计划表!Q151-人员资源情况!A$2,0)))*R151*S151</f>
        <v/>
      </c>
      <c r="W79" s="0">
        <f>IF(V151&lt;0,0,V151)</f>
        <v/>
      </c>
      <c r="X79" s="0" t="inlineStr"/>
      <c r="Y79" s="0" t="inlineStr"/>
      <c r="Z79" s="0" t="inlineStr"/>
      <c r="AA79" s="0" t="inlineStr"/>
    </row>
    <row r="80">
      <c r="E80" s="0" t="inlineStr">
        <is>
          <t>亚洲</t>
        </is>
      </c>
      <c r="F80" s="0" t="inlineStr">
        <is>
          <t>巴勒斯坦超声户表二开</t>
        </is>
      </c>
      <c r="G80" s="0" t="inlineStr">
        <is>
          <t>2026-07-09</t>
        </is>
      </c>
      <c r="H80" s="0" t="inlineStr">
        <is>
          <t>2026-08-15</t>
        </is>
      </c>
      <c r="I80" s="0" t="inlineStr">
        <is>
          <t>TR4</t>
        </is>
      </c>
      <c r="J80" s="0" t="inlineStr">
        <is>
          <t>水表固件自测</t>
        </is>
      </c>
      <c r="K80" s="0" t="inlineStr">
        <is>
          <t>毛文豪</t>
        </is>
      </c>
      <c r="L80" s="0" t="inlineStr">
        <is>
          <t>2026-07-27</t>
        </is>
      </c>
      <c r="M80" s="0" t="inlineStr">
        <is>
          <t>2026-07-31</t>
        </is>
      </c>
      <c r="N80" s="0" t="n">
        <v>6</v>
      </c>
      <c r="O80" s="0">
        <f>任务计划表!K152</f>
        <v/>
      </c>
      <c r="P80" s="0">
        <f>IF(IF(任务计划表!L152="/",人员资源情况!$A$2,L152)&gt;M152,M152,(IF(任务计划表!L152="/",人员资源情况!$A$2,L152)))</f>
        <v/>
      </c>
      <c r="Q80" s="0">
        <f>IF(M152="/",人员资源情况!$B$2,任务计划表!M152)</f>
        <v/>
      </c>
      <c r="R80" s="0">
        <f>任务计划表!N152</f>
        <v/>
      </c>
      <c r="S80" s="0">
        <f>IF(O152=人员资源情况!C$2,1,0)</f>
        <v/>
      </c>
      <c r="T80" s="0">
        <f>IF(P152&gt;=人员资源情况!A$2,1,0)</f>
        <v/>
      </c>
      <c r="U80" s="0">
        <f>IF(Q152&lt;=人员资源情况!B$2,1,0)</f>
        <v/>
      </c>
      <c r="V80" s="0">
        <f>IF(T152*U152,Q152-P152,IF(T152&gt;U152,人员资源情况!B$2-P152,IF(T152&lt;U152,任务计划表!Q152-人员资源情况!A$2,0)))*R152*S152</f>
        <v/>
      </c>
      <c r="W80" s="0">
        <f>IF(V152&lt;0,0,V152)</f>
        <v/>
      </c>
      <c r="X80" s="0" t="inlineStr"/>
      <c r="Y80" s="0" t="inlineStr"/>
      <c r="Z80" s="0" t="inlineStr"/>
      <c r="AA80" s="0" t="inlineStr"/>
    </row>
    <row r="81">
      <c r="E81" s="0" t="inlineStr">
        <is>
          <t>亚洲</t>
        </is>
      </c>
      <c r="F81" s="0" t="inlineStr">
        <is>
          <t>巴勒斯坦超声户表二开</t>
        </is>
      </c>
      <c r="G81" s="0" t="inlineStr">
        <is>
          <t>2026-07-09</t>
        </is>
      </c>
      <c r="H81" s="0" t="inlineStr">
        <is>
          <t>2026-08-15</t>
        </is>
      </c>
      <c r="I81" s="0" t="inlineStr">
        <is>
          <t>TR4</t>
        </is>
      </c>
      <c r="J81" s="0" t="inlineStr">
        <is>
          <t>CIU固件代码编写</t>
        </is>
      </c>
      <c r="K81" s="0" t="inlineStr">
        <is>
          <t>毛文豪</t>
        </is>
      </c>
      <c r="L81" s="0" t="inlineStr">
        <is>
          <t>2026-07-30</t>
        </is>
      </c>
      <c r="M81" s="0" t="inlineStr">
        <is>
          <t>2026-07-31</t>
        </is>
      </c>
      <c r="N81" s="0" t="n">
        <v>6</v>
      </c>
      <c r="O81" s="0">
        <f>任务计划表!K153</f>
        <v/>
      </c>
      <c r="P81" s="0">
        <f>IF(IF(任务计划表!L153="/",人员资源情况!$A$2,L153)&gt;M153,M153,(IF(任务计划表!L153="/",人员资源情况!$A$2,L153)))</f>
        <v/>
      </c>
      <c r="Q81" s="0">
        <f>IF(M153="/",人员资源情况!$B$2,任务计划表!M153)</f>
        <v/>
      </c>
      <c r="R81" s="0">
        <f>任务计划表!N153</f>
        <v/>
      </c>
      <c r="S81" s="0">
        <f>IF(O153=人员资源情况!C$2,1,0)</f>
        <v/>
      </c>
      <c r="T81" s="0">
        <f>IF(P153&gt;=人员资源情况!A$2,1,0)</f>
        <v/>
      </c>
      <c r="U81" s="0">
        <f>IF(Q153&lt;=人员资源情况!B$2,1,0)</f>
        <v/>
      </c>
      <c r="V81" s="0">
        <f>IF(T153*U153,Q153-P153,IF(T153&gt;U153,人员资源情况!B$2-P153,IF(T153&lt;U153,任务计划表!Q153-人员资源情况!A$2,0)))*R153*S153</f>
        <v/>
      </c>
      <c r="W81" s="0">
        <f>IF(V153&lt;0,0,V153)</f>
        <v/>
      </c>
    </row>
    <row r="82">
      <c r="E82" s="0" t="inlineStr">
        <is>
          <t>亚洲</t>
        </is>
      </c>
      <c r="F82" s="0" t="inlineStr">
        <is>
          <t>巴勒斯坦超声户表二开</t>
        </is>
      </c>
      <c r="G82" s="0" t="inlineStr">
        <is>
          <t>2026-07-09</t>
        </is>
      </c>
      <c r="H82" s="0" t="inlineStr">
        <is>
          <t>2026-08-15</t>
        </is>
      </c>
      <c r="I82" s="0" t="inlineStr">
        <is>
          <t>TR4A</t>
        </is>
      </c>
      <c r="J82" s="0" t="inlineStr">
        <is>
          <t>样机制作</t>
        </is>
      </c>
      <c r="K82" s="0" t="inlineStr">
        <is>
          <t>文春英</t>
        </is>
      </c>
      <c r="L82" s="0" t="inlineStr">
        <is>
          <t>2026-07-28</t>
        </is>
      </c>
      <c r="M82" s="0" t="inlineStr">
        <is>
          <t>2026-07-31</t>
        </is>
      </c>
      <c r="N82" s="0" t="n">
        <v>2</v>
      </c>
      <c r="O82" s="0">
        <f>任务计划表!K154</f>
        <v/>
      </c>
      <c r="P82" s="0">
        <f>IF(IF(任务计划表!L154="/",人员资源情况!$A$2,L154)&gt;M154,M154,(IF(任务计划表!L154="/",人员资源情况!$A$2,L154)))</f>
        <v/>
      </c>
      <c r="Q82" s="0">
        <f>IF(M154="/",人员资源情况!$B$2,任务计划表!M154)</f>
        <v/>
      </c>
      <c r="R82" s="0">
        <f>任务计划表!N154</f>
        <v/>
      </c>
      <c r="S82" s="0">
        <f>IF(O154=人员资源情况!C$2,1,0)</f>
        <v/>
      </c>
      <c r="T82" s="0">
        <f>IF(P154&gt;=人员资源情况!A$2,1,0)</f>
        <v/>
      </c>
      <c r="U82" s="0">
        <f>IF(Q154&lt;=人员资源情况!B$2,1,0)</f>
        <v/>
      </c>
      <c r="V82" s="0">
        <f>IF(T154*U154,Q154-P154,IF(T154&gt;U154,人员资源情况!B$2-P154,IF(T154&lt;U154,任务计划表!Q154-人员资源情况!A$2,0)))*R154*S154</f>
        <v/>
      </c>
      <c r="W82" s="0">
        <f>IF(V154&lt;0,0,V154)</f>
        <v/>
      </c>
      <c r="X82" s="0" t="inlineStr"/>
      <c r="Y82" s="0" t="inlineStr"/>
      <c r="Z82" s="0" t="inlineStr"/>
      <c r="AA82" s="0" t="inlineStr"/>
    </row>
    <row r="83">
      <c r="E83" s="0" t="inlineStr">
        <is>
          <t>亚洲</t>
        </is>
      </c>
      <c r="F83" s="0" t="inlineStr">
        <is>
          <t>巴勒斯坦超声户表二开</t>
        </is>
      </c>
      <c r="G83" s="0" t="inlineStr">
        <is>
          <t>2026-07-09</t>
        </is>
      </c>
      <c r="H83" s="0" t="inlineStr">
        <is>
          <t>2026-08-15</t>
        </is>
      </c>
      <c r="I83" s="0" t="inlineStr">
        <is>
          <t>TR4</t>
        </is>
      </c>
      <c r="J83" s="0" t="inlineStr">
        <is>
          <t>测试用例评审</t>
        </is>
      </c>
      <c r="K83" s="0" t="inlineStr">
        <is>
          <t>@袁知正</t>
        </is>
      </c>
      <c r="L83" s="0" t="inlineStr">
        <is>
          <t>2026-07-23</t>
        </is>
      </c>
      <c r="M83" s="0" t="inlineStr">
        <is>
          <t>2026-07-29</t>
        </is>
      </c>
      <c r="N83" s="0" t="n">
        <v>2</v>
      </c>
      <c r="O83" s="0">
        <f>任务计划表!K155</f>
        <v/>
      </c>
      <c r="P83" s="0">
        <f>IF(IF(任务计划表!L155="/",人员资源情况!$A$2,L155)&gt;M155,M155,(IF(任务计划表!L155="/",人员资源情况!$A$2,L155)))</f>
        <v/>
      </c>
      <c r="Q83" s="0">
        <f>IF(M155="/",人员资源情况!$B$2,任务计划表!M155)</f>
        <v/>
      </c>
      <c r="R83" s="0">
        <f>任务计划表!N155</f>
        <v/>
      </c>
      <c r="S83" s="0">
        <f>IF(O155=人员资源情况!C$2,1,0)</f>
        <v/>
      </c>
      <c r="T83" s="0">
        <f>IF(P155&gt;=人员资源情况!A$2,1,0)</f>
        <v/>
      </c>
      <c r="U83" s="0">
        <f>IF(Q155&lt;=人员资源情况!B$2,1,0)</f>
        <v/>
      </c>
      <c r="V83" s="0">
        <f>IF(T155*U155,Q155-P155,IF(T155&gt;U155,人员资源情况!B$2-P155,IF(T155&lt;U155,任务计划表!Q155-人员资源情况!A$2,0)))*R155*S155</f>
        <v/>
      </c>
      <c r="W83" s="0">
        <f>IF(V155&lt;0,0,V155)</f>
        <v/>
      </c>
      <c r="X83" s="0" t="inlineStr"/>
      <c r="Y83" s="0" t="inlineStr"/>
      <c r="Z83" s="0" t="inlineStr"/>
      <c r="AA83" s="0" t="inlineStr"/>
    </row>
    <row r="84">
      <c r="E84" s="0" t="inlineStr">
        <is>
          <t>亚洲</t>
        </is>
      </c>
      <c r="F84" s="0" t="inlineStr">
        <is>
          <t>巴勒斯坦超声户表二开</t>
        </is>
      </c>
      <c r="G84" s="0" t="inlineStr">
        <is>
          <t>2026-07-09</t>
        </is>
      </c>
      <c r="H84" s="0" t="inlineStr">
        <is>
          <t>2026-08-15</t>
        </is>
      </c>
      <c r="I84" s="0" t="inlineStr">
        <is>
          <t>TR4A</t>
        </is>
      </c>
      <c r="J84" s="0" t="inlineStr">
        <is>
          <t>第一轮测试</t>
        </is>
      </c>
      <c r="K84" s="0" t="inlineStr">
        <is>
          <t>袁知正</t>
        </is>
      </c>
      <c r="L84" s="0" t="inlineStr">
        <is>
          <t>2026-07-30</t>
        </is>
      </c>
      <c r="M84" s="0" t="inlineStr">
        <is>
          <t>2026-08-05</t>
        </is>
      </c>
      <c r="N84" s="0" t="n">
        <v>8</v>
      </c>
      <c r="O84" s="0">
        <f>任务计划表!K156</f>
        <v/>
      </c>
      <c r="P84" s="0">
        <f>IF(IF(任务计划表!L156="/",人员资源情况!$A$2,L156)&gt;M156,M156,(IF(任务计划表!L156="/",人员资源情况!$A$2,L156)))</f>
        <v/>
      </c>
      <c r="Q84" s="0">
        <f>IF(M156="/",人员资源情况!$B$2,任务计划表!M156)</f>
        <v/>
      </c>
      <c r="R84" s="0">
        <f>任务计划表!N156</f>
        <v/>
      </c>
      <c r="S84" s="0">
        <f>IF(O156=人员资源情况!C$2,1,0)</f>
        <v/>
      </c>
      <c r="T84" s="0">
        <f>IF(P156&gt;=人员资源情况!A$2,1,0)</f>
        <v/>
      </c>
      <c r="U84" s="0">
        <f>IF(Q156&lt;=人员资源情况!B$2,1,0)</f>
        <v/>
      </c>
      <c r="V84" s="0">
        <f>IF(T156*U156,Q156-P156,IF(T156&gt;U156,人员资源情况!B$2-P156,IF(T156&lt;U156,任务计划表!Q156-人员资源情况!A$2,0)))*R156*S156</f>
        <v/>
      </c>
      <c r="W84" s="0">
        <f>IF(V156&lt;0,0,V156)</f>
        <v/>
      </c>
    </row>
    <row r="85">
      <c r="E85" s="0" t="inlineStr">
        <is>
          <t>亚洲</t>
        </is>
      </c>
      <c r="F85" s="0" t="inlineStr">
        <is>
          <t>巴勒斯坦超声户表二开</t>
        </is>
      </c>
      <c r="G85" s="0" t="inlineStr">
        <is>
          <t>2026-07-09</t>
        </is>
      </c>
      <c r="H85" s="0" t="inlineStr">
        <is>
          <t>2026-08-15</t>
        </is>
      </c>
      <c r="I85" s="0" t="inlineStr">
        <is>
          <t>TR4A</t>
        </is>
      </c>
      <c r="J85" s="0" t="inlineStr">
        <is>
          <t>测试报告评审</t>
        </is>
      </c>
      <c r="K85" s="0" t="inlineStr">
        <is>
          <t>袁知正</t>
        </is>
      </c>
      <c r="L85" s="0" t="inlineStr">
        <is>
          <t>2026-08-14</t>
        </is>
      </c>
      <c r="M85" s="0" t="inlineStr">
        <is>
          <t>2026-08-14</t>
        </is>
      </c>
      <c r="N85" s="0" t="n">
        <v>1</v>
      </c>
      <c r="O85" s="0">
        <f>任务计划表!K157</f>
        <v/>
      </c>
      <c r="P85" s="0">
        <f>IF(IF(任务计划表!L157="/",人员资源情况!$A$2,L157)&gt;M157,M157,(IF(任务计划表!L157="/",人员资源情况!$A$2,L157)))</f>
        <v/>
      </c>
      <c r="Q85" s="0">
        <f>IF(M157="/",人员资源情况!$B$2,任务计划表!M157)</f>
        <v/>
      </c>
      <c r="R85" s="0">
        <f>任务计划表!N157</f>
        <v/>
      </c>
      <c r="S85" s="0">
        <f>IF(O157=人员资源情况!C$2,1,0)</f>
        <v/>
      </c>
      <c r="T85" s="0">
        <f>IF(P157&gt;=人员资源情况!A$2,1,0)</f>
        <v/>
      </c>
      <c r="U85" s="0">
        <f>IF(Q157&lt;=人员资源情况!B$2,1,0)</f>
        <v/>
      </c>
      <c r="V85" s="0">
        <f>IF(T157*U157,Q157-P157,IF(T157&gt;U157,人员资源情况!B$2-P157,IF(T157&lt;U157,任务计划表!Q157-人员资源情况!A$2,0)))*R157*S157</f>
        <v/>
      </c>
      <c r="W85" s="0">
        <f>IF(V157&lt;0,0,V157)</f>
        <v/>
      </c>
      <c r="X85" s="0" t="inlineStr"/>
      <c r="Y85" s="0" t="inlineStr"/>
      <c r="Z85" s="0" t="inlineStr"/>
      <c r="AA85" s="0" t="inlineStr"/>
    </row>
    <row r="86">
      <c r="E86" s="0" t="inlineStr">
        <is>
          <t>亚洲</t>
        </is>
      </c>
      <c r="F86" s="0" t="inlineStr">
        <is>
          <t>巴勒斯坦超声户表二开</t>
        </is>
      </c>
      <c r="G86" s="0" t="inlineStr">
        <is>
          <t>2026-07-09</t>
        </is>
      </c>
      <c r="H86" s="0" t="inlineStr">
        <is>
          <t>2026-08-15</t>
        </is>
      </c>
      <c r="I86" s="0" t="inlineStr">
        <is>
          <t>TR5</t>
        </is>
      </c>
      <c r="J86" s="0" t="inlineStr">
        <is>
          <t>生产工艺及规程制定</t>
        </is>
      </c>
      <c r="K86" s="0" t="inlineStr">
        <is>
          <t>肖庆阳</t>
        </is>
      </c>
      <c r="L86" s="0" t="inlineStr">
        <is>
          <t>2026-08-15</t>
        </is>
      </c>
      <c r="M86" s="0" t="inlineStr">
        <is>
          <t>2026-08-17</t>
        </is>
      </c>
      <c r="N86" s="0" t="n">
        <v>8</v>
      </c>
      <c r="O86" s="0">
        <f>任务计划表!K158</f>
        <v/>
      </c>
      <c r="P86" s="0">
        <f>IF(IF(任务计划表!L158="/",人员资源情况!$A$2,L158)&gt;M158,M158,(IF(任务计划表!L158="/",人员资源情况!$A$2,L158)))</f>
        <v/>
      </c>
      <c r="Q86" s="0">
        <f>IF(M158="/",人员资源情况!$B$2,任务计划表!M158)</f>
        <v/>
      </c>
      <c r="R86" s="0">
        <f>任务计划表!N158</f>
        <v/>
      </c>
      <c r="S86" s="0">
        <f>IF(O158=人员资源情况!C$2,1,0)</f>
        <v/>
      </c>
      <c r="T86" s="0">
        <f>IF(P158&gt;=人员资源情况!A$2,1,0)</f>
        <v/>
      </c>
      <c r="U86" s="0">
        <f>IF(Q158&lt;=人员资源情况!B$2,1,0)</f>
        <v/>
      </c>
      <c r="V86" s="0">
        <f>IF(T158*U158,Q158-P158,IF(T158&gt;U158,人员资源情况!B$2-P158,IF(T158&lt;U158,任务计划表!Q158-人员资源情况!A$2,0)))*R158*S158</f>
        <v/>
      </c>
      <c r="W86" s="0">
        <f>IF(V158&lt;0,0,V158)</f>
        <v/>
      </c>
      <c r="X86" s="0" t="inlineStr"/>
      <c r="Y86" s="0" t="inlineStr"/>
      <c r="Z86" s="0" t="inlineStr"/>
      <c r="AA86" s="0" t="inlineStr"/>
    </row>
    <row r="87">
      <c r="E87" s="0" t="inlineStr">
        <is>
          <t>亚洲</t>
        </is>
      </c>
      <c r="F87" s="0" t="inlineStr">
        <is>
          <t>巴勒斯坦超声户表二开</t>
        </is>
      </c>
      <c r="G87" s="0" t="inlineStr">
        <is>
          <t>2026-07-09</t>
        </is>
      </c>
      <c r="H87" s="0" t="inlineStr">
        <is>
          <t>2026-08-15</t>
        </is>
      </c>
      <c r="I87" s="0" t="inlineStr">
        <is>
          <t>TR5</t>
        </is>
      </c>
      <c r="J87" s="0" t="inlineStr">
        <is>
          <t>产品参数配置表</t>
        </is>
      </c>
      <c r="K87" s="0" t="inlineStr">
        <is>
          <t>@毛文豪(80018842)</t>
        </is>
      </c>
      <c r="L87" s="0" t="inlineStr">
        <is>
          <t>2026-08-13</t>
        </is>
      </c>
      <c r="M87" s="0" t="inlineStr">
        <is>
          <t>2026-08-14</t>
        </is>
      </c>
      <c r="N87" s="0" t="n">
        <v>2</v>
      </c>
      <c r="O87" s="0">
        <f>任务计划表!K159</f>
        <v/>
      </c>
      <c r="P87" s="0">
        <f>IF(IF(任务计划表!L159="/",人员资源情况!$A$2,L159)&gt;M159,M159,(IF(任务计划表!L159="/",人员资源情况!$A$2,L159)))</f>
        <v/>
      </c>
      <c r="Q87" s="0">
        <f>IF(M159="/",人员资源情况!$B$2,任务计划表!M159)</f>
        <v/>
      </c>
      <c r="R87" s="0">
        <f>任务计划表!N159</f>
        <v/>
      </c>
      <c r="S87" s="0">
        <f>IF(O159=人员资源情况!C$2,1,0)</f>
        <v/>
      </c>
      <c r="T87" s="0">
        <f>IF(P159&gt;=人员资源情况!A$2,1,0)</f>
        <v/>
      </c>
      <c r="U87" s="0">
        <f>IF(Q159&lt;=人员资源情况!B$2,1,0)</f>
        <v/>
      </c>
      <c r="V87" s="0">
        <f>IF(T159*U159,Q159-P159,IF(T159&gt;U159,人员资源情况!B$2-P159,IF(T159&lt;U159,任务计划表!Q159-人员资源情况!A$2,0)))*R159*S159</f>
        <v/>
      </c>
      <c r="W87" s="0">
        <f>IF(V159&lt;0,0,V159)</f>
        <v/>
      </c>
      <c r="X87" s="0" t="inlineStr"/>
      <c r="Y87" s="0" t="inlineStr"/>
      <c r="Z87" s="0" t="inlineStr"/>
      <c r="AA87" s="0" t="inlineStr"/>
    </row>
    <row r="88">
      <c r="E88" s="0" t="inlineStr">
        <is>
          <t>亚洲</t>
        </is>
      </c>
      <c r="F88" s="0" t="inlineStr">
        <is>
          <t>巴勒斯坦超声户表二开</t>
        </is>
      </c>
      <c r="G88" s="0" t="inlineStr">
        <is>
          <t>2026-07-09</t>
        </is>
      </c>
      <c r="H88" s="0" t="inlineStr">
        <is>
          <t>2026-08-15</t>
        </is>
      </c>
      <c r="I88" s="0" t="inlineStr">
        <is>
          <t>TR5</t>
        </is>
      </c>
      <c r="J88" s="0" t="inlineStr">
        <is>
          <t>生产资料归档</t>
        </is>
      </c>
      <c r="K88" s="0" t="inlineStr">
        <is>
          <t>@肖庆阳</t>
        </is>
      </c>
      <c r="L88" s="0" t="inlineStr">
        <is>
          <t>2026-08-14</t>
        </is>
      </c>
      <c r="M88" s="0" t="inlineStr">
        <is>
          <t>2026-08-15</t>
        </is>
      </c>
      <c r="N88" s="0" t="n">
        <v>8</v>
      </c>
      <c r="O88" s="0">
        <f>任务计划表!K160</f>
        <v/>
      </c>
      <c r="P88" s="0">
        <f>IF(IF(任务计划表!L160="/",人员资源情况!$A$2,L160)&gt;M160,M160,(IF(任务计划表!L160="/",人员资源情况!$A$2,L160)))</f>
        <v/>
      </c>
      <c r="Q88" s="0">
        <f>IF(M160="/",人员资源情况!$B$2,任务计划表!M160)</f>
        <v/>
      </c>
      <c r="R88" s="0">
        <f>任务计划表!N160</f>
        <v/>
      </c>
      <c r="S88" s="0">
        <f>IF(O160=人员资源情况!C$2,1,0)</f>
        <v/>
      </c>
      <c r="T88" s="0">
        <f>IF(P160&gt;=人员资源情况!A$2,1,0)</f>
        <v/>
      </c>
      <c r="U88" s="0">
        <f>IF(Q160&lt;=人员资源情况!B$2,1,0)</f>
        <v/>
      </c>
      <c r="V88" s="0">
        <f>IF(T160*U160,Q160-P160,IF(T160&gt;U160,人员资源情况!B$2-P160,IF(T160&lt;U160,任务计划表!Q160-人员资源情况!A$2,0)))*R160*S160</f>
        <v/>
      </c>
      <c r="W88" s="0">
        <f>IF(V160&lt;0,0,V160)</f>
        <v/>
      </c>
    </row>
    <row r="89">
      <c r="E89" s="0" t="inlineStr">
        <is>
          <t>亚洲</t>
        </is>
      </c>
      <c r="F89" s="0" t="inlineStr">
        <is>
          <t>巴勒斯坦超声户表二开</t>
        </is>
      </c>
      <c r="G89" s="0" t="inlineStr">
        <is>
          <t>2026-07-09</t>
        </is>
      </c>
      <c r="H89" s="0" t="inlineStr">
        <is>
          <t>2026-08-15</t>
        </is>
      </c>
      <c r="I89" s="0" t="inlineStr">
        <is>
          <t>TR5</t>
        </is>
      </c>
      <c r="J89" s="0" t="inlineStr">
        <is>
          <t>项目结项评审</t>
        </is>
      </c>
      <c r="K89" s="0" t="inlineStr">
        <is>
          <t>@毛文豪(80018842)</t>
        </is>
      </c>
      <c r="L89" s="0" t="inlineStr">
        <is>
          <t>2026-08-14</t>
        </is>
      </c>
      <c r="M89" s="0" t="inlineStr">
        <is>
          <t>2026-08-15</t>
        </is>
      </c>
      <c r="N89" s="0" t="n">
        <v>1</v>
      </c>
      <c r="O89" s="0">
        <f>任务计划表!K161</f>
        <v/>
      </c>
      <c r="P89" s="0">
        <f>IF(IF(任务计划表!L161="/",人员资源情况!$A$2,L161)&gt;M161,M161,(IF(任务计划表!L161="/",人员资源情况!$A$2,L161)))</f>
        <v/>
      </c>
      <c r="Q89" s="0">
        <f>IF(M161="/",人员资源情况!$B$2,任务计划表!M161)</f>
        <v/>
      </c>
      <c r="R89" s="0">
        <f>任务计划表!N161</f>
        <v/>
      </c>
      <c r="S89" s="0">
        <f>IF(O161=人员资源情况!C$2,1,0)</f>
        <v/>
      </c>
      <c r="T89" s="0">
        <f>IF(P161&gt;=人员资源情况!A$2,1,0)</f>
        <v/>
      </c>
      <c r="U89" s="0">
        <f>IF(Q161&lt;=人员资源情况!B$2,1,0)</f>
        <v/>
      </c>
      <c r="V89" s="0">
        <f>IF(T161*U161,Q161-P161,IF(T161&gt;U161,人员资源情况!B$2-P161,IF(T161&lt;U161,任务计划表!Q161-人员资源情况!A$2,0)))*R161*S161</f>
        <v/>
      </c>
      <c r="W89" s="0">
        <f>IF(V161&lt;0,0,V161)</f>
        <v/>
      </c>
    </row>
    <row r="90">
      <c r="E90" s="0" t="inlineStr">
        <is>
          <t>日常工作</t>
        </is>
      </c>
      <c r="F90" s="0" t="inlineStr">
        <is>
          <t>非洲工装-曾翔</t>
        </is>
      </c>
      <c r="G90" s="0" t="inlineStr">
        <is>
          <t>1900-01-01</t>
        </is>
      </c>
      <c r="H90" s="0" t="inlineStr">
        <is>
          <t>2100-01-01</t>
        </is>
      </c>
      <c r="I90" s="0" t="inlineStr">
        <is>
          <t>非洲蓝牙工装</t>
        </is>
      </c>
      <c r="J90" s="0" t="inlineStr">
        <is>
          <t>固件工程师-开发</t>
        </is>
      </c>
      <c r="K90" s="0" t="inlineStr">
        <is>
          <t>@项家祺(80004213)(项家祺)</t>
        </is>
      </c>
      <c r="L90" s="0" t="inlineStr">
        <is>
          <t>2026-07-27</t>
        </is>
      </c>
      <c r="M90" s="0" t="inlineStr">
        <is>
          <t>2026-08-09</t>
        </is>
      </c>
      <c r="N90" s="0" t="n">
        <v>8</v>
      </c>
      <c r="O90" s="0">
        <f>任务计划表!K162</f>
        <v/>
      </c>
      <c r="P90" s="0">
        <f>IF(IF(任务计划表!L162="/",人员资源情况!$A$2,L162)&gt;M162,M162,(IF(任务计划表!L162="/",人员资源情况!$A$2,L162)))</f>
        <v/>
      </c>
      <c r="Q90" s="0">
        <f>IF(M162="/",人员资源情况!$B$2,任务计划表!M162)</f>
        <v/>
      </c>
      <c r="R90" s="0">
        <f>任务计划表!N162</f>
        <v/>
      </c>
      <c r="S90" s="0">
        <f>IF(O162=人员资源情况!C$2,1,0)</f>
        <v/>
      </c>
      <c r="T90" s="0">
        <f>IF(P162&gt;=人员资源情况!A$2,1,0)</f>
        <v/>
      </c>
      <c r="U90" s="0">
        <f>IF(Q162&lt;=人员资源情况!B$2,1,0)</f>
        <v/>
      </c>
      <c r="V90" s="0">
        <f>IF(T162*U162,Q162-P162,IF(T162&gt;U162,人员资源情况!B$2-P162,IF(T162&lt;U162,任务计划表!Q162-人员资源情况!A$2,0)))*R162*S162</f>
        <v/>
      </c>
      <c r="W90" s="0">
        <f>IF(V162&lt;0,0,V162)</f>
        <v/>
      </c>
    </row>
    <row r="91">
      <c r="A91" s="0" t="inlineStr"/>
      <c r="E91" s="0" t="inlineStr">
        <is>
          <t>日常工作</t>
        </is>
      </c>
      <c r="F91" s="0" t="inlineStr">
        <is>
          <t>非洲工装-曾翔</t>
        </is>
      </c>
      <c r="G91" s="0" t="inlineStr">
        <is>
          <t>1900-01-01</t>
        </is>
      </c>
      <c r="H91" s="0" t="inlineStr">
        <is>
          <t>2100-01-01</t>
        </is>
      </c>
      <c r="I91" s="0" t="inlineStr">
        <is>
          <t>非洲蓝牙工装</t>
        </is>
      </c>
      <c r="J91" s="0" t="inlineStr">
        <is>
          <t>固件工程师-开发</t>
        </is>
      </c>
      <c r="K91" s="0" t="inlineStr">
        <is>
          <t>@项家祺(80004213)(项家祺)</t>
        </is>
      </c>
      <c r="L91" s="0" t="inlineStr">
        <is>
          <t>2026-07-27</t>
        </is>
      </c>
      <c r="M91" s="0" t="inlineStr">
        <is>
          <t>2026-08-09</t>
        </is>
      </c>
      <c r="N91" s="0" t="n">
        <v>8</v>
      </c>
      <c r="O91" s="0">
        <f>任务计划表!K163</f>
        <v/>
      </c>
      <c r="P91" s="0">
        <f>IF(IF(任务计划表!L163="/",人员资源情况!$A$2,L163)&gt;M163,M163,(IF(任务计划表!L163="/",人员资源情况!$A$2,L163)))</f>
        <v/>
      </c>
      <c r="Q91" s="0">
        <f>IF(M163="/",人员资源情况!$B$2,任务计划表!M163)</f>
        <v/>
      </c>
      <c r="R91" s="0">
        <f>任务计划表!N163</f>
        <v/>
      </c>
      <c r="S91" s="0">
        <f>IF(O163=人员资源情况!C$2,1,0)</f>
        <v/>
      </c>
      <c r="T91" s="0">
        <f>IF(P163&gt;=人员资源情况!A$2,1,0)</f>
        <v/>
      </c>
      <c r="U91" s="0">
        <f>IF(Q163&lt;=人员资源情况!B$2,1,0)</f>
        <v/>
      </c>
      <c r="V91" s="0">
        <f>IF(T163*U163,Q163-P163,IF(T163&gt;U163,人员资源情况!B$2-P163,IF(T163&lt;U163,任务计划表!Q163-人员资源情况!A$2,0)))*R163*S163</f>
        <v/>
      </c>
      <c r="W91" s="0">
        <f>IF(V163&lt;0,0,V163)</f>
        <v/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1900-01-01</t>
        </is>
      </c>
      <c r="H92" s="0" t="inlineStr">
        <is>
          <t>2100-01-01</t>
        </is>
      </c>
      <c r="I92" s="0" t="inlineStr">
        <is>
          <t>第二轮测试</t>
        </is>
      </c>
      <c r="J92" s="0" t="inlineStr">
        <is>
          <t>测试工程师</t>
        </is>
      </c>
      <c r="K92" s="0" t="inlineStr">
        <is>
          <t>@袁知正</t>
        </is>
      </c>
      <c r="L92" s="0" t="inlineStr">
        <is>
          <t>2026-08-07</t>
        </is>
      </c>
      <c r="M92" s="0" t="inlineStr">
        <is>
          <t>2026-08-13</t>
        </is>
      </c>
      <c r="N92" s="0" t="n">
        <v>8</v>
      </c>
      <c r="O92" s="0">
        <f>任务计划表!K164</f>
        <v/>
      </c>
      <c r="P92" s="0">
        <f>IF(IF(任务计划表!L164="/",人员资源情况!$A$2,L164)&gt;M164,M164,(IF(任务计划表!L164="/",人员资源情况!$A$2,L164)))</f>
        <v/>
      </c>
      <c r="Q92" s="0">
        <f>IF(M164="/",人员资源情况!$B$2,任务计划表!M164)</f>
        <v/>
      </c>
      <c r="R92" s="0">
        <f>任务计划表!N164</f>
        <v/>
      </c>
      <c r="S92" s="0">
        <f>IF(O164=人员资源情况!C$2,1,0)</f>
        <v/>
      </c>
      <c r="T92" s="0">
        <f>IF(P164&gt;=人员资源情况!A$2,1,0)</f>
        <v/>
      </c>
      <c r="U92" s="0">
        <f>IF(Q164&lt;=人员资源情况!B$2,1,0)</f>
        <v/>
      </c>
      <c r="V92" s="0">
        <f>IF(T164*U164,Q164-P164,IF(T164&gt;U164,人员资源情况!B$2-P164,IF(T164&lt;U164,任务计划表!Q164-人员资源情况!A$2,0)))*R164*S164</f>
        <v/>
      </c>
      <c r="W92" s="0">
        <f>IF(V164&lt;0,0,V164)</f>
        <v/>
      </c>
    </row>
    <row r="93"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1900-01-01</t>
        </is>
      </c>
      <c r="H93" s="0" t="inlineStr">
        <is>
          <t>2100-01-01</t>
        </is>
      </c>
      <c r="I93" s="0" t="inlineStr">
        <is>
          <t>TR4A</t>
        </is>
      </c>
      <c r="J93" s="0" t="inlineStr">
        <is>
          <t>第二轮测试</t>
        </is>
      </c>
      <c r="K93" s="0" t="inlineStr">
        <is>
          <t>@袁知正</t>
        </is>
      </c>
      <c r="L93" s="0" t="inlineStr">
        <is>
          <t>2026-08-07</t>
        </is>
      </c>
      <c r="M93" s="0" t="inlineStr">
        <is>
          <t>2026-08-13</t>
        </is>
      </c>
      <c r="N93" s="0" t="n">
        <v>8</v>
      </c>
      <c r="O93" s="0">
        <f>任务计划表!K165</f>
        <v/>
      </c>
      <c r="P93" s="0">
        <f>IF(IF(任务计划表!L165="/",人员资源情况!$A$2,L165)&gt;M165,M165,(IF(任务计划表!L165="/",人员资源情况!$A$2,L165)))</f>
        <v/>
      </c>
      <c r="Q93" s="0">
        <f>IF(M165="/",人员资源情况!$B$2,任务计划表!M165)</f>
        <v/>
      </c>
      <c r="R93" s="0">
        <f>任务计划表!N165</f>
        <v/>
      </c>
      <c r="S93" s="0">
        <f>IF(O165=人员资源情况!C$2,1,0)</f>
        <v/>
      </c>
      <c r="T93" s="0">
        <f>IF(P165&gt;=人员资源情况!A$2,1,0)</f>
        <v/>
      </c>
      <c r="U93" s="0">
        <f>IF(Q165&lt;=人员资源情况!B$2,1,0)</f>
        <v/>
      </c>
      <c r="V93" s="0">
        <f>IF(T165*U165,Q165-P165,IF(T165&gt;U165,人员资源情况!B$2-P165,IF(T165&lt;U165,任务计划表!Q165-人员资源情况!A$2,0)))*R165*S165</f>
        <v/>
      </c>
      <c r="W93" s="0">
        <f>IF(V165&lt;0,0,V165)</f>
        <v/>
      </c>
    </row>
    <row r="94">
      <c r="A94" s="0" t="inlineStr">
        <is>
          <t>已归档</t>
        </is>
      </c>
      <c r="E94" s="0" t="inlineStr">
        <is>
          <t>欧洲</t>
        </is>
      </c>
      <c r="F94" s="0" t="inlineStr">
        <is>
          <t>欧洲短款表</t>
        </is>
      </c>
      <c r="G94" s="0" t="inlineStr">
        <is>
          <t>2026-07-13</t>
        </is>
      </c>
      <c r="H94" s="0" t="inlineStr">
        <is>
          <t>2027-03-28</t>
        </is>
      </c>
      <c r="I94" s="0" t="inlineStr">
        <is>
          <t>TR1</t>
        </is>
      </c>
      <c r="J94" s="0" t="inlineStr">
        <is>
          <t>计划阶段</t>
        </is>
      </c>
      <c r="K94" s="0" t="inlineStr">
        <is>
          <t>@童景顺(80004217)(童景顺)</t>
        </is>
      </c>
      <c r="L94" s="0" t="inlineStr">
        <is>
          <t>2026-07-13</t>
        </is>
      </c>
      <c r="M94" s="0" t="inlineStr">
        <is>
          <t>2026-07-18</t>
        </is>
      </c>
      <c r="N94" s="0" t="n">
        <v>1</v>
      </c>
      <c r="O94" s="0">
        <f>任务计划表!K166</f>
        <v/>
      </c>
      <c r="P94" s="0">
        <f>IF(IF(任务计划表!L166="/",人员资源情况!$A$2,L166)&gt;M166,M166,(IF(任务计划表!L166="/",人员资源情况!$A$2,L166)))</f>
        <v/>
      </c>
      <c r="Q94" s="0">
        <f>IF(M166="/",人员资源情况!$B$2,任务计划表!M166)</f>
        <v/>
      </c>
      <c r="R94" s="0">
        <f>任务计划表!N166</f>
        <v/>
      </c>
      <c r="S94" s="0">
        <f>IF(O166=人员资源情况!C$2,1,0)</f>
        <v/>
      </c>
      <c r="T94" s="0">
        <f>IF(P166&gt;=人员资源情况!A$2,1,0)</f>
        <v/>
      </c>
      <c r="U94" s="0">
        <f>IF(Q166&lt;=人员资源情况!B$2,1,0)</f>
        <v/>
      </c>
      <c r="V94" s="0">
        <f>IF(T166*U166,Q166-P166,IF(T166&gt;U166,人员资源情况!B$2-P166,IF(T166&lt;U166,任务计划表!Q166-人员资源情况!A$2,0)))*R166*S166</f>
        <v/>
      </c>
      <c r="W94" s="0">
        <f>IF(V166&lt;0,0,V166)</f>
        <v/>
      </c>
    </row>
    <row r="95">
      <c r="E95" s="0" t="inlineStr">
        <is>
          <t>欧洲</t>
        </is>
      </c>
      <c r="F95" s="0" t="inlineStr">
        <is>
          <t>欧洲短款表</t>
        </is>
      </c>
      <c r="G95" s="0" t="inlineStr">
        <is>
          <t>2026-07-13</t>
        </is>
      </c>
      <c r="H95" s="0" t="inlineStr">
        <is>
          <t>2027-03-28</t>
        </is>
      </c>
      <c r="I95" s="0" t="inlineStr">
        <is>
          <t>TR3</t>
        </is>
      </c>
      <c r="J95" s="0" t="inlineStr">
        <is>
          <t>结构概要设计评审</t>
        </is>
      </c>
      <c r="K95" s="0" t="inlineStr">
        <is>
          <t xml:space="preserve"> @罗穗安</t>
        </is>
      </c>
      <c r="L95" s="0" t="inlineStr">
        <is>
          <t>2026-07-19</t>
        </is>
      </c>
      <c r="M95" s="0" t="inlineStr">
        <is>
          <t>2026-08-06</t>
        </is>
      </c>
      <c r="N95" s="0" t="n">
        <v>0</v>
      </c>
      <c r="O95" s="0">
        <f>任务计划表!K167</f>
        <v/>
      </c>
      <c r="P95" s="0">
        <f>IF(IF(任务计划表!L167="/",人员资源情况!$A$2,L167)&gt;M167,M167,(IF(任务计划表!L167="/",人员资源情况!$A$2,L167)))</f>
        <v/>
      </c>
      <c r="Q95" s="0">
        <f>IF(M167="/",人员资源情况!$B$2,任务计划表!M167)</f>
        <v/>
      </c>
      <c r="R95" s="0">
        <f>任务计划表!N167</f>
        <v/>
      </c>
      <c r="S95" s="0">
        <f>IF(O167=人员资源情况!C$2,1,0)</f>
        <v/>
      </c>
      <c r="T95" s="0">
        <f>IF(P167&gt;=人员资源情况!A$2,1,0)</f>
        <v/>
      </c>
      <c r="U95" s="0">
        <f>IF(Q167&lt;=人员资源情况!B$2,1,0)</f>
        <v/>
      </c>
      <c r="V95" s="0">
        <f>IF(T167*U167,Q167-P167,IF(T167&gt;U167,人员资源情况!B$2-P167,IF(T167&lt;U167,任务计划表!Q167-人员资源情况!A$2,0)))*R167*S167</f>
        <v/>
      </c>
      <c r="W95" s="0">
        <f>IF(V167&lt;0,0,V167)</f>
        <v/>
      </c>
    </row>
    <row r="96">
      <c r="E96" s="0" t="inlineStr">
        <is>
          <t>欧洲</t>
        </is>
      </c>
      <c r="F96" s="0" t="inlineStr">
        <is>
          <t>欧洲短款表</t>
        </is>
      </c>
      <c r="G96" s="0" t="inlineStr">
        <is>
          <t>2026-07-13</t>
        </is>
      </c>
      <c r="H96" s="0" t="inlineStr">
        <is>
          <t>2027-03-28</t>
        </is>
      </c>
      <c r="I96" s="0" t="inlineStr">
        <is>
          <t>TR3</t>
        </is>
      </c>
      <c r="J96" s="0" t="inlineStr">
        <is>
          <t>硬件概要设计评审</t>
        </is>
      </c>
      <c r="K96" s="0" t="inlineStr">
        <is>
          <t>@童景顺(80004217)(童景顺)</t>
        </is>
      </c>
      <c r="L96" s="0" t="inlineStr">
        <is>
          <t>2026-07-18</t>
        </is>
      </c>
      <c r="M96" s="0" t="inlineStr">
        <is>
          <t>2026-08-06</t>
        </is>
      </c>
      <c r="N96" s="0" t="n">
        <v>2</v>
      </c>
      <c r="O96" s="0">
        <f>任务计划表!K168</f>
        <v/>
      </c>
      <c r="P96" s="0">
        <f>IF(IF(任务计划表!L168="/",人员资源情况!$A$2,L168)&gt;M168,M168,(IF(任务计划表!L168="/",人员资源情况!$A$2,L168)))</f>
        <v/>
      </c>
      <c r="Q96" s="0">
        <f>IF(M168="/",人员资源情况!$B$2,任务计划表!M168)</f>
        <v/>
      </c>
      <c r="R96" s="0">
        <f>任务计划表!N168</f>
        <v/>
      </c>
      <c r="S96" s="0">
        <f>IF(O168=人员资源情况!C$2,1,0)</f>
        <v/>
      </c>
      <c r="T96" s="0">
        <f>IF(P168&gt;=人员资源情况!A$2,1,0)</f>
        <v/>
      </c>
      <c r="U96" s="0">
        <f>IF(Q168&lt;=人员资源情况!B$2,1,0)</f>
        <v/>
      </c>
      <c r="V96" s="0">
        <f>IF(T168*U168,Q168-P168,IF(T168&gt;U168,人员资源情况!B$2-P168,IF(T168&lt;U168,任务计划表!Q168-人员资源情况!A$2,0)))*R168*S168</f>
        <v/>
      </c>
      <c r="W96" s="0">
        <f>IF(V168&lt;0,0,V168)</f>
        <v/>
      </c>
    </row>
    <row r="97">
      <c r="E97" s="0" t="inlineStr">
        <is>
          <t>欧洲</t>
        </is>
      </c>
      <c r="F97" s="0" t="inlineStr">
        <is>
          <t>欧洲短款表</t>
        </is>
      </c>
      <c r="G97" s="0" t="inlineStr">
        <is>
          <t>2026-07-13</t>
        </is>
      </c>
      <c r="H97" s="0" t="inlineStr">
        <is>
          <t>2027-03-28</t>
        </is>
      </c>
      <c r="I97" s="0" t="inlineStr">
        <is>
          <t>TR3</t>
        </is>
      </c>
      <c r="J97" s="0" t="inlineStr">
        <is>
          <t>固件概要设计评审</t>
        </is>
      </c>
      <c r="K97" s="0" t="inlineStr">
        <is>
          <t>@项家祺(80004213)(项家祺)</t>
        </is>
      </c>
      <c r="L97" s="0" t="inlineStr">
        <is>
          <t>2026-07-18</t>
        </is>
      </c>
      <c r="M97" s="0" t="inlineStr">
        <is>
          <t>2026-08-07</t>
        </is>
      </c>
      <c r="N97" s="0" t="n">
        <v>2</v>
      </c>
      <c r="O97" s="0">
        <f>任务计划表!K169</f>
        <v/>
      </c>
      <c r="P97" s="0">
        <f>IF(IF(任务计划表!L169="/",人员资源情况!$A$2,L169)&gt;M169,M169,(IF(任务计划表!L169="/",人员资源情况!$A$2,L169)))</f>
        <v/>
      </c>
      <c r="Q97" s="0">
        <f>IF(M169="/",人员资源情况!$B$2,任务计划表!M169)</f>
        <v/>
      </c>
      <c r="R97" s="0">
        <f>任务计划表!N169</f>
        <v/>
      </c>
      <c r="S97" s="0">
        <f>IF(O169=人员资源情况!C$2,1,0)</f>
        <v/>
      </c>
      <c r="T97" s="0">
        <f>IF(P169&gt;=人员资源情况!A$2,1,0)</f>
        <v/>
      </c>
      <c r="U97" s="0">
        <f>IF(Q169&lt;=人员资源情况!B$2,1,0)</f>
        <v/>
      </c>
      <c r="V97" s="0">
        <f>IF(T169*U169,Q169-P169,IF(T169&gt;U169,人员资源情况!B$2-P169,IF(T169&lt;U169,任务计划表!Q169-人员资源情况!A$2,0)))*R169*S169</f>
        <v/>
      </c>
      <c r="W97" s="0">
        <f>IF(V169&lt;0,0,V169)</f>
        <v/>
      </c>
    </row>
    <row r="98">
      <c r="E98" s="0" t="inlineStr">
        <is>
          <t>欧洲</t>
        </is>
      </c>
      <c r="F98" s="0" t="inlineStr">
        <is>
          <t>欧洲短款表</t>
        </is>
      </c>
      <c r="G98" s="0" t="inlineStr">
        <is>
          <t>2026-07-13</t>
        </is>
      </c>
      <c r="H98" s="0" t="inlineStr">
        <is>
          <t>2027-03-28</t>
        </is>
      </c>
      <c r="I98" s="0" t="inlineStr">
        <is>
          <t>TR4</t>
        </is>
      </c>
      <c r="J98" s="0" t="inlineStr">
        <is>
          <t>结构详细设计评审</t>
        </is>
      </c>
      <c r="K98" s="0" t="inlineStr">
        <is>
          <t>@罗穗安</t>
        </is>
      </c>
      <c r="L98" s="0" t="inlineStr">
        <is>
          <t>2026-08-07</t>
        </is>
      </c>
      <c r="M98" s="0" t="inlineStr">
        <is>
          <t>2026-08-12</t>
        </is>
      </c>
      <c r="N98" s="0" t="n">
        <v>2</v>
      </c>
      <c r="O98" s="0">
        <f>任务计划表!K170</f>
        <v/>
      </c>
      <c r="P98" s="0">
        <f>IF(IF(任务计划表!L170="/",人员资源情况!$A$2,L170)&gt;M170,M170,(IF(任务计划表!L170="/",人员资源情况!$A$2,L170)))</f>
        <v/>
      </c>
      <c r="Q98" s="0">
        <f>IF(M170="/",人员资源情况!$B$2,任务计划表!M170)</f>
        <v/>
      </c>
      <c r="R98" s="0">
        <f>任务计划表!N170</f>
        <v/>
      </c>
      <c r="S98" s="0">
        <f>IF(O170=人员资源情况!C$2,1,0)</f>
        <v/>
      </c>
      <c r="T98" s="0">
        <f>IF(P170&gt;=人员资源情况!A$2,1,0)</f>
        <v/>
      </c>
      <c r="U98" s="0">
        <f>IF(Q170&lt;=人员资源情况!B$2,1,0)</f>
        <v/>
      </c>
      <c r="V98" s="0">
        <f>IF(T170*U170,Q170-P170,IF(T170&gt;U170,人员资源情况!B$2-P170,IF(T170&lt;U170,任务计划表!Q170-人员资源情况!A$2,0)))*R170*S170</f>
        <v/>
      </c>
      <c r="W98" s="0">
        <f>IF(V170&lt;0,0,V170)</f>
        <v/>
      </c>
    </row>
    <row r="99">
      <c r="E99" s="0" t="inlineStr">
        <is>
          <t>欧洲</t>
        </is>
      </c>
      <c r="F99" s="0" t="inlineStr">
        <is>
          <t>欧洲短款表</t>
        </is>
      </c>
      <c r="G99" s="0" t="inlineStr">
        <is>
          <t>2026-07-13</t>
        </is>
      </c>
      <c r="H99" s="0" t="inlineStr">
        <is>
          <t>2027-03-28</t>
        </is>
      </c>
      <c r="I99" s="0" t="inlineStr">
        <is>
          <t>TR4</t>
        </is>
      </c>
      <c r="J99" s="0" t="inlineStr">
        <is>
          <t>开模</t>
        </is>
      </c>
      <c r="K99" s="0" t="inlineStr">
        <is>
          <t>@罗穗安</t>
        </is>
      </c>
      <c r="L99" s="0" t="inlineStr">
        <is>
          <t>2026-08-13</t>
        </is>
      </c>
      <c r="M99" s="0" t="inlineStr">
        <is>
          <t>2026-09-21</t>
        </is>
      </c>
      <c r="N99" s="0" t="n">
        <v>2</v>
      </c>
      <c r="O99" s="0">
        <f>任务计划表!K171</f>
        <v/>
      </c>
      <c r="P99" s="0">
        <f>IF(IF(任务计划表!L171="/",人员资源情况!$A$2,L171)&gt;M171,M171,(IF(任务计划表!L171="/",人员资源情况!$A$2,L171)))</f>
        <v/>
      </c>
      <c r="Q99" s="0">
        <f>IF(M171="/",人员资源情况!$B$2,任务计划表!M171)</f>
        <v/>
      </c>
      <c r="R99" s="0">
        <f>任务计划表!N171</f>
        <v/>
      </c>
      <c r="S99" s="0">
        <f>IF(O171=人员资源情况!C$2,1,0)</f>
        <v/>
      </c>
      <c r="T99" s="0">
        <f>IF(P171&gt;=人员资源情况!A$2,1,0)</f>
        <v/>
      </c>
      <c r="U99" s="0">
        <f>IF(Q171&lt;=人员资源情况!B$2,1,0)</f>
        <v/>
      </c>
      <c r="V99" s="0">
        <f>IF(T171*U171,Q171-P171,IF(T171&gt;U171,人员资源情况!B$2-P171,IF(T171&lt;U171,任务计划表!Q171-人员资源情况!A$2,0)))*R171*S171</f>
        <v/>
      </c>
      <c r="W99" s="0">
        <f>IF(V171&lt;0,0,V171)</f>
        <v/>
      </c>
    </row>
    <row r="100">
      <c r="E100" s="0" t="inlineStr">
        <is>
          <t>欧洲</t>
        </is>
      </c>
      <c r="F100" s="0" t="inlineStr">
        <is>
          <t>欧洲短款表</t>
        </is>
      </c>
      <c r="G100" s="0" t="inlineStr">
        <is>
          <t>2026-07-13</t>
        </is>
      </c>
      <c r="H100" s="0" t="inlineStr">
        <is>
          <t>2027-03-28</t>
        </is>
      </c>
      <c r="I100" s="0" t="inlineStr">
        <is>
          <t>TR4</t>
        </is>
      </c>
      <c r="J100" s="0" t="inlineStr">
        <is>
          <t>物料编码申请</t>
        </is>
      </c>
      <c r="K100" s="0" t="inlineStr">
        <is>
          <t>@罗穗安</t>
        </is>
      </c>
      <c r="L100" s="0" t="inlineStr">
        <is>
          <t>2026-09-22</t>
        </is>
      </c>
      <c r="M100" s="0" t="inlineStr">
        <is>
          <t>2026-09-24</t>
        </is>
      </c>
      <c r="N100" s="0" t="n">
        <v>0</v>
      </c>
      <c r="O100" s="0">
        <f>任务计划表!K172</f>
        <v/>
      </c>
      <c r="P100" s="0">
        <f>IF(IF(任务计划表!L172="/",人员资源情况!$A$2,L172)&gt;M172,M172,(IF(任务计划表!L172="/",人员资源情况!$A$2,L172)))</f>
        <v/>
      </c>
      <c r="Q100" s="0">
        <f>IF(M172="/",人员资源情况!$B$2,任务计划表!M172)</f>
        <v/>
      </c>
      <c r="R100" s="0">
        <f>任务计划表!N172</f>
        <v/>
      </c>
      <c r="S100" s="0">
        <f>IF(O172=人员资源情况!C$2,1,0)</f>
        <v/>
      </c>
      <c r="T100" s="0">
        <f>IF(P172&gt;=人员资源情况!A$2,1,0)</f>
        <v/>
      </c>
      <c r="U100" s="0">
        <f>IF(Q172&lt;=人员资源情况!B$2,1,0)</f>
        <v/>
      </c>
      <c r="V100" s="0">
        <f>IF(T172*U172,Q172-P172,IF(T172&gt;U172,人员资源情况!B$2-P172,IF(T172&lt;U172,任务计划表!Q172-人员资源情况!A$2,0)))*R172*S172</f>
        <v/>
      </c>
      <c r="W100" s="0">
        <f>IF(V172&lt;0,0,V172)</f>
        <v/>
      </c>
    </row>
    <row r="101">
      <c r="E101" s="0" t="inlineStr">
        <is>
          <t>欧洲</t>
        </is>
      </c>
      <c r="F101" s="0" t="inlineStr">
        <is>
          <t>欧洲短款表</t>
        </is>
      </c>
      <c r="G101" s="0" t="inlineStr">
        <is>
          <t>2026-07-13</t>
        </is>
      </c>
      <c r="H101" s="0" t="inlineStr">
        <is>
          <t>2027-03-28</t>
        </is>
      </c>
      <c r="I101" s="0" t="inlineStr">
        <is>
          <t>TR4</t>
        </is>
      </c>
      <c r="J101" s="0" t="inlineStr">
        <is>
          <t>模具验证</t>
        </is>
      </c>
      <c r="K101" s="0" t="inlineStr">
        <is>
          <t>@罗穗安</t>
        </is>
      </c>
      <c r="L101" s="0" t="inlineStr">
        <is>
          <t>2026-09-25</t>
        </is>
      </c>
      <c r="M101" s="0" t="inlineStr">
        <is>
          <t>2026-09-27</t>
        </is>
      </c>
      <c r="N101" s="0" t="n">
        <v>2</v>
      </c>
      <c r="O101" s="0">
        <f>任务计划表!K173</f>
        <v/>
      </c>
      <c r="P101" s="0">
        <f>IF(IF(任务计划表!L173="/",人员资源情况!$A$2,L173)&gt;M173,M173,(IF(任务计划表!L173="/",人员资源情况!$A$2,L173)))</f>
        <v/>
      </c>
      <c r="Q101" s="0">
        <f>IF(M173="/",人员资源情况!$B$2,任务计划表!M173)</f>
        <v/>
      </c>
      <c r="R101" s="0">
        <f>任务计划表!N173</f>
        <v/>
      </c>
      <c r="S101" s="0">
        <f>IF(O173=人员资源情况!C$2,1,0)</f>
        <v/>
      </c>
      <c r="T101" s="0">
        <f>IF(P173&gt;=人员资源情况!A$2,1,0)</f>
        <v/>
      </c>
      <c r="U101" s="0">
        <f>IF(Q173&lt;=人员资源情况!B$2,1,0)</f>
        <v/>
      </c>
      <c r="V101" s="0">
        <f>IF(T173*U173,Q173-P173,IF(T173&gt;U173,人员资源情况!B$2-P173,IF(T173&lt;U173,任务计划表!Q173-人员资源情况!A$2,0)))*R173*S173</f>
        <v/>
      </c>
      <c r="W101" s="0">
        <f>IF(V173&lt;0,0,V173)</f>
        <v/>
      </c>
    </row>
    <row r="102">
      <c r="E102" s="0" t="inlineStr">
        <is>
          <t>欧洲</t>
        </is>
      </c>
      <c r="F102" s="0" t="inlineStr">
        <is>
          <t>欧洲短款表</t>
        </is>
      </c>
      <c r="G102" s="0" t="inlineStr">
        <is>
          <t>2026-07-13</t>
        </is>
      </c>
      <c r="H102" s="0" t="inlineStr">
        <is>
          <t>2027-03-28</t>
        </is>
      </c>
      <c r="I102" s="0" t="inlineStr">
        <is>
          <t>TR4</t>
        </is>
      </c>
      <c r="J102" s="0" t="inlineStr">
        <is>
          <t>修模</t>
        </is>
      </c>
      <c r="K102" s="0" t="inlineStr">
        <is>
          <t>@罗穗安</t>
        </is>
      </c>
      <c r="L102" s="0" t="inlineStr">
        <is>
          <t>2026-09-28</t>
        </is>
      </c>
      <c r="M102" s="0" t="inlineStr">
        <is>
          <t>2026-10-12</t>
        </is>
      </c>
      <c r="N102" s="0" t="n">
        <v>2</v>
      </c>
      <c r="O102" s="0">
        <f>任务计划表!K174</f>
        <v/>
      </c>
      <c r="P102" s="0">
        <f>IF(IF(任务计划表!L174="/",人员资源情况!$A$2,L174)&gt;M174,M174,(IF(任务计划表!L174="/",人员资源情况!$A$2,L174)))</f>
        <v/>
      </c>
      <c r="Q102" s="0">
        <f>IF(M174="/",人员资源情况!$B$2,任务计划表!M174)</f>
        <v/>
      </c>
      <c r="R102" s="0">
        <f>任务计划表!N174</f>
        <v/>
      </c>
      <c r="S102" s="0">
        <f>IF(O174=人员资源情况!C$2,1,0)</f>
        <v/>
      </c>
      <c r="T102" s="0">
        <f>IF(P174&gt;=人员资源情况!A$2,1,0)</f>
        <v/>
      </c>
      <c r="U102" s="0">
        <f>IF(Q174&lt;=人员资源情况!B$2,1,0)</f>
        <v/>
      </c>
      <c r="V102" s="0">
        <f>IF(T174*U174,Q174-P174,IF(T174&gt;U174,人员资源情况!B$2-P174,IF(T174&lt;U174,任务计划表!Q174-人员资源情况!A$2,0)))*R174*S174</f>
        <v/>
      </c>
      <c r="W102" s="0">
        <f>IF(V174&lt;0,0,V174)</f>
        <v/>
      </c>
    </row>
    <row r="103">
      <c r="E103" s="0" t="inlineStr">
        <is>
          <t>欧洲</t>
        </is>
      </c>
      <c r="F103" s="0" t="inlineStr">
        <is>
          <t>欧洲短款表</t>
        </is>
      </c>
      <c r="G103" s="0" t="inlineStr">
        <is>
          <t>2026-07-13</t>
        </is>
      </c>
      <c r="H103" s="0" t="inlineStr">
        <is>
          <t>2027-03-28</t>
        </is>
      </c>
      <c r="I103" s="0" t="inlineStr">
        <is>
          <t>TR4</t>
        </is>
      </c>
      <c r="J103" s="0" t="inlineStr">
        <is>
          <t>硬件详细设计评审</t>
        </is>
      </c>
      <c r="K103" s="0" t="inlineStr">
        <is>
          <t>@童景顺(80004217)(童景顺)</t>
        </is>
      </c>
      <c r="L103" s="0" t="inlineStr">
        <is>
          <t>2026-08-06</t>
        </is>
      </c>
      <c r="M103" s="0" t="inlineStr">
        <is>
          <t>2026-08-09</t>
        </is>
      </c>
      <c r="N103" s="0" t="n">
        <v>4</v>
      </c>
      <c r="O103" s="0">
        <f>任务计划表!K175</f>
        <v/>
      </c>
      <c r="P103" s="0">
        <f>IF(IF(任务计划表!L175="/",人员资源情况!$A$2,L175)&gt;M175,M175,(IF(任务计划表!L175="/",人员资源情况!$A$2,L175)))</f>
        <v/>
      </c>
      <c r="Q103" s="0">
        <f>IF(M175="/",人员资源情况!$B$2,任务计划表!M175)</f>
        <v/>
      </c>
      <c r="R103" s="0">
        <f>任务计划表!N175</f>
        <v/>
      </c>
      <c r="S103" s="0">
        <f>IF(O175=人员资源情况!C$2,1,0)</f>
        <v/>
      </c>
      <c r="T103" s="0">
        <f>IF(P175&gt;=人员资源情况!A$2,1,0)</f>
        <v/>
      </c>
      <c r="U103" s="0">
        <f>IF(Q175&lt;=人员资源情况!B$2,1,0)</f>
        <v/>
      </c>
      <c r="V103" s="0">
        <f>IF(T175*U175,Q175-P175,IF(T175&gt;U175,人员资源情况!B$2-P175,IF(T175&lt;U175,任务计划表!Q175-人员资源情况!A$2,0)))*R175*S175</f>
        <v/>
      </c>
      <c r="W103" s="0">
        <f>IF(V175&lt;0,0,V175)</f>
        <v/>
      </c>
    </row>
    <row r="104">
      <c r="E104" s="0" t="inlineStr">
        <is>
          <t>欧洲</t>
        </is>
      </c>
      <c r="F104" s="0" t="inlineStr">
        <is>
          <t>欧洲短款表</t>
        </is>
      </c>
      <c r="G104" s="0" t="inlineStr">
        <is>
          <t>2026-07-13</t>
        </is>
      </c>
      <c r="H104" s="0" t="inlineStr">
        <is>
          <t>2027-03-28</t>
        </is>
      </c>
      <c r="I104" s="0" t="inlineStr">
        <is>
          <t>TR4</t>
        </is>
      </c>
      <c r="J104" s="0" t="inlineStr">
        <is>
          <t>物料编码申请</t>
        </is>
      </c>
      <c r="K104" s="0" t="inlineStr">
        <is>
          <t>@童景顺(80004217)(童景顺)</t>
        </is>
      </c>
      <c r="L104" s="0" t="inlineStr">
        <is>
          <t>2026-08-10</t>
        </is>
      </c>
      <c r="M104" s="0" t="inlineStr">
        <is>
          <t>2026-08-10</t>
        </is>
      </c>
      <c r="N104" s="0" t="n">
        <v>1</v>
      </c>
      <c r="O104" s="0">
        <f>任务计划表!K176</f>
        <v/>
      </c>
      <c r="P104" s="0">
        <f>IF(IF(任务计划表!L176="/",人员资源情况!$A$2,L176)&gt;M176,M176,(IF(任务计划表!L176="/",人员资源情况!$A$2,L176)))</f>
        <v/>
      </c>
      <c r="Q104" s="0">
        <f>IF(M176="/",人员资源情况!$B$2,任务计划表!M176)</f>
        <v/>
      </c>
      <c r="R104" s="0">
        <f>任务计划表!N176</f>
        <v/>
      </c>
      <c r="S104" s="0">
        <f>IF(O176=人员资源情况!C$2,1,0)</f>
        <v/>
      </c>
      <c r="T104" s="0">
        <f>IF(P176&gt;=人员资源情况!A$2,1,0)</f>
        <v/>
      </c>
      <c r="U104" s="0">
        <f>IF(Q176&lt;=人员资源情况!B$2,1,0)</f>
        <v/>
      </c>
      <c r="V104" s="0">
        <f>IF(T176*U176,Q176-P176,IF(T176&gt;U176,人员资源情况!B$2-P176,IF(T176&lt;U176,任务计划表!Q176-人员资源情况!A$2,0)))*R176*S176</f>
        <v/>
      </c>
      <c r="W104" s="0">
        <f>IF(V176&lt;0,0,V176)</f>
        <v/>
      </c>
    </row>
    <row r="105">
      <c r="E105" s="0" t="inlineStr">
        <is>
          <t>欧洲</t>
        </is>
      </c>
      <c r="F105" s="0" t="inlineStr">
        <is>
          <t>欧洲短款表</t>
        </is>
      </c>
      <c r="G105" s="0" t="inlineStr">
        <is>
          <t>2026-07-13</t>
        </is>
      </c>
      <c r="H105" s="0" t="inlineStr">
        <is>
          <t>2027-03-28</t>
        </is>
      </c>
      <c r="I105" s="0" t="inlineStr">
        <is>
          <t>TR4</t>
        </is>
      </c>
      <c r="J105" s="0" t="inlineStr">
        <is>
          <t>BOM评审</t>
        </is>
      </c>
      <c r="K105" s="0" t="inlineStr">
        <is>
          <t>@童景顺(80004217)(童景顺)</t>
        </is>
      </c>
      <c r="L105" s="0" t="inlineStr">
        <is>
          <t>2026-08-09</t>
        </is>
      </c>
      <c r="M105" s="0" t="inlineStr">
        <is>
          <t>2026-08-09</t>
        </is>
      </c>
      <c r="N105" s="0" t="n">
        <v>1</v>
      </c>
      <c r="O105" s="0">
        <f>任务计划表!K177</f>
        <v/>
      </c>
      <c r="P105" s="0">
        <f>IF(IF(任务计划表!L177="/",人员资源情况!$A$2,L177)&gt;M177,M177,(IF(任务计划表!L177="/",人员资源情况!$A$2,L177)))</f>
        <v/>
      </c>
      <c r="Q105" s="0">
        <f>IF(M177="/",人员资源情况!$B$2,任务计划表!M177)</f>
        <v/>
      </c>
      <c r="R105" s="0">
        <f>任务计划表!N177</f>
        <v/>
      </c>
      <c r="S105" s="0">
        <f>IF(O177=人员资源情况!C$2,1,0)</f>
        <v/>
      </c>
      <c r="T105" s="0">
        <f>IF(P177&gt;=人员资源情况!A$2,1,0)</f>
        <v/>
      </c>
      <c r="U105" s="0">
        <f>IF(Q177&lt;=人员资源情况!B$2,1,0)</f>
        <v/>
      </c>
      <c r="V105" s="0">
        <f>IF(T177*U177,Q177-P177,IF(T177&gt;U177,人员资源情况!B$2-P177,IF(T177&lt;U177,任务计划表!Q177-人员资源情况!A$2,0)))*R177*S177</f>
        <v/>
      </c>
      <c r="W105" s="0">
        <f>IF(V177&lt;0,0,V177)</f>
        <v/>
      </c>
    </row>
    <row r="106">
      <c r="E106" s="0" t="inlineStr">
        <is>
          <t>欧洲</t>
        </is>
      </c>
      <c r="F106" s="0" t="inlineStr">
        <is>
          <t>欧洲短款表</t>
        </is>
      </c>
      <c r="G106" s="0" t="inlineStr">
        <is>
          <t>2026-07-13</t>
        </is>
      </c>
      <c r="H106" s="0" t="inlineStr">
        <is>
          <t>2027-03-28</t>
        </is>
      </c>
      <c r="I106" s="0" t="inlineStr">
        <is>
          <t>TR4</t>
        </is>
      </c>
      <c r="J106" s="0" t="inlineStr">
        <is>
          <t>硬件详细设计文档归档</t>
        </is>
      </c>
      <c r="K106" s="0" t="inlineStr">
        <is>
          <t>@童景顺(80004217)(童景顺)</t>
        </is>
      </c>
      <c r="L106" s="0" t="inlineStr">
        <is>
          <t>2026-09-13</t>
        </is>
      </c>
      <c r="M106" s="0" t="inlineStr">
        <is>
          <t>2026-09-13</t>
        </is>
      </c>
      <c r="N106" s="0" t="n">
        <v>1</v>
      </c>
      <c r="O106" s="0">
        <f>任务计划表!K178</f>
        <v/>
      </c>
      <c r="P106" s="0">
        <f>IF(IF(任务计划表!L178="/",人员资源情况!$A$2,L178)&gt;M178,M178,(IF(任务计划表!L178="/",人员资源情况!$A$2,L178)))</f>
        <v/>
      </c>
      <c r="Q106" s="0">
        <f>IF(M178="/",人员资源情况!$B$2,任务计划表!M178)</f>
        <v/>
      </c>
      <c r="R106" s="0">
        <f>任务计划表!N178</f>
        <v/>
      </c>
      <c r="S106" s="0">
        <f>IF(O178=人员资源情况!C$2,1,0)</f>
        <v/>
      </c>
      <c r="T106" s="0">
        <f>IF(P178&gt;=人员资源情况!A$2,1,0)</f>
        <v/>
      </c>
      <c r="U106" s="0">
        <f>IF(Q178&lt;=人员资源情况!B$2,1,0)</f>
        <v/>
      </c>
      <c r="V106" s="0">
        <f>IF(T178*U178,Q178-P178,IF(T178&gt;U178,人员资源情况!B$2-P178,IF(T178&lt;U178,任务计划表!Q178-人员资源情况!A$2,0)))*R178*S178</f>
        <v/>
      </c>
      <c r="W106" s="0">
        <f>IF(V178&lt;0,0,V178)</f>
        <v/>
      </c>
    </row>
    <row r="107">
      <c r="E107" s="0" t="inlineStr">
        <is>
          <t>欧洲</t>
        </is>
      </c>
      <c r="F107" s="0" t="inlineStr">
        <is>
          <t>欧洲短款表</t>
        </is>
      </c>
      <c r="G107" s="0" t="inlineStr">
        <is>
          <t>2026-07-13</t>
        </is>
      </c>
      <c r="H107" s="0" t="inlineStr">
        <is>
          <t>2027-03-28</t>
        </is>
      </c>
      <c r="I107" s="0" t="inlineStr">
        <is>
          <t>TR4</t>
        </is>
      </c>
      <c r="J107" s="0" t="inlineStr">
        <is>
          <t>SDK-CBB开发</t>
        </is>
      </c>
      <c r="K107" s="0" t="inlineStr">
        <is>
          <t>@袁琮欣(80015786)(袁琮欣)</t>
        </is>
      </c>
      <c r="L107" s="0" t="inlineStr">
        <is>
          <t>2026-08-09</t>
        </is>
      </c>
      <c r="M107" s="0" t="inlineStr">
        <is>
          <t>2026-08-12</t>
        </is>
      </c>
      <c r="N107" s="0" t="n">
        <v>6</v>
      </c>
      <c r="O107" s="0">
        <f>任务计划表!K179</f>
        <v/>
      </c>
      <c r="P107" s="0">
        <f>IF(IF(任务计划表!L179="/",人员资源情况!$A$2,L179)&gt;M179,M179,(IF(任务计划表!L179="/",人员资源情况!$A$2,L179)))</f>
        <v/>
      </c>
      <c r="Q107" s="0">
        <f>IF(M179="/",人员资源情况!$B$2,任务计划表!M179)</f>
        <v/>
      </c>
      <c r="R107" s="0">
        <f>任务计划表!N179</f>
        <v/>
      </c>
      <c r="S107" s="0">
        <f>IF(O179=人员资源情况!C$2,1,0)</f>
        <v/>
      </c>
      <c r="T107" s="0">
        <f>IF(P179&gt;=人员资源情况!A$2,1,0)</f>
        <v/>
      </c>
      <c r="U107" s="0">
        <f>IF(Q179&lt;=人员资源情况!B$2,1,0)</f>
        <v/>
      </c>
      <c r="V107" s="0">
        <f>IF(T179*U179,Q179-P179,IF(T179&gt;U179,人员资源情况!B$2-P179,IF(T179&lt;U179,任务计划表!Q179-人员资源情况!A$2,0)))*R179*S179</f>
        <v/>
      </c>
      <c r="W107" s="0">
        <f>IF(V179&lt;0,0,V179)</f>
        <v/>
      </c>
    </row>
    <row r="108">
      <c r="E108" s="0" t="inlineStr">
        <is>
          <t>欧洲</t>
        </is>
      </c>
      <c r="F108" s="0" t="inlineStr">
        <is>
          <t>欧洲短款表</t>
        </is>
      </c>
      <c r="G108" s="0" t="inlineStr">
        <is>
          <t>2026-07-13</t>
        </is>
      </c>
      <c r="H108" s="0" t="inlineStr">
        <is>
          <t>2027-03-28</t>
        </is>
      </c>
      <c r="I108" s="0" t="inlineStr">
        <is>
          <t>TR4</t>
        </is>
      </c>
      <c r="J108" s="0" t="inlineStr">
        <is>
          <t>计量开发</t>
        </is>
      </c>
      <c r="K108" s="0" t="inlineStr">
        <is>
          <t>@袁琮欣(80015786)(袁琮欣)</t>
        </is>
      </c>
      <c r="L108" s="0" t="inlineStr">
        <is>
          <t>2026-08-09</t>
        </is>
      </c>
      <c r="M108" s="0" t="inlineStr">
        <is>
          <t>2026-08-12</t>
        </is>
      </c>
      <c r="N108" s="0" t="n">
        <v>6</v>
      </c>
      <c r="O108" s="0">
        <f>任务计划表!K180</f>
        <v/>
      </c>
      <c r="P108" s="0">
        <f>IF(IF(任务计划表!L180="/",人员资源情况!$A$2,L180)&gt;M180,M180,(IF(任务计划表!L180="/",人员资源情况!$A$2,L180)))</f>
        <v/>
      </c>
      <c r="Q108" s="0">
        <f>IF(M180="/",人员资源情况!$B$2,任务计划表!M180)</f>
        <v/>
      </c>
      <c r="R108" s="0">
        <f>任务计划表!N180</f>
        <v/>
      </c>
      <c r="S108" s="0">
        <f>IF(O180=人员资源情况!C$2,1,0)</f>
        <v/>
      </c>
      <c r="T108" s="0">
        <f>IF(P180&gt;=人员资源情况!A$2,1,0)</f>
        <v/>
      </c>
      <c r="U108" s="0">
        <f>IF(Q180&lt;=人员资源情况!B$2,1,0)</f>
        <v/>
      </c>
      <c r="V108" s="0">
        <f>IF(T180*U180,Q180-P180,IF(T180&gt;U180,人员资源情况!B$2-P180,IF(T180&lt;U180,任务计划表!Q180-人员资源情况!A$2,0)))*R180*S180</f>
        <v/>
      </c>
      <c r="W108" s="0">
        <f>IF(V180&lt;0,0,V180)</f>
        <v/>
      </c>
    </row>
    <row r="109">
      <c r="E109" s="0" t="inlineStr">
        <is>
          <t>欧洲</t>
        </is>
      </c>
      <c r="F109" s="0" t="inlineStr">
        <is>
          <t>欧洲短款表</t>
        </is>
      </c>
      <c r="G109" s="0" t="inlineStr">
        <is>
          <t>2026-07-13</t>
        </is>
      </c>
      <c r="H109" s="0" t="inlineStr">
        <is>
          <t>2027-03-28</t>
        </is>
      </c>
      <c r="I109" s="0" t="inlineStr">
        <is>
          <t>TR4</t>
        </is>
      </c>
      <c r="J109" s="0" t="inlineStr">
        <is>
          <t>显示开发</t>
        </is>
      </c>
      <c r="K109" s="0" t="inlineStr">
        <is>
          <t>@李昊龙(80016809)</t>
        </is>
      </c>
      <c r="L109" s="0" t="inlineStr">
        <is>
          <t>2026-08-13</t>
        </is>
      </c>
      <c r="M109" s="0" t="inlineStr">
        <is>
          <t>2026-08-16</t>
        </is>
      </c>
      <c r="N109" s="0" t="n">
        <v>6</v>
      </c>
      <c r="O109" s="0">
        <f>任务计划表!K181</f>
        <v/>
      </c>
      <c r="P109" s="0">
        <f>IF(IF(任务计划表!L181="/",人员资源情况!$A$2,L181)&gt;M181,M181,(IF(任务计划表!L181="/",人员资源情况!$A$2,L181)))</f>
        <v/>
      </c>
      <c r="Q109" s="0">
        <f>IF(M181="/",人员资源情况!$B$2,任务计划表!M181)</f>
        <v/>
      </c>
      <c r="R109" s="0">
        <f>任务计划表!N181</f>
        <v/>
      </c>
      <c r="S109" s="0">
        <f>IF(O181=人员资源情况!C$2,1,0)</f>
        <v/>
      </c>
      <c r="T109" s="0">
        <f>IF(P181&gt;=人员资源情况!A$2,1,0)</f>
        <v/>
      </c>
      <c r="U109" s="0">
        <f>IF(Q181&lt;=人员资源情况!B$2,1,0)</f>
        <v/>
      </c>
      <c r="V109" s="0">
        <f>IF(T181*U181,Q181-P181,IF(T181&gt;U181,人员资源情况!B$2-P181,IF(T181&lt;U181,任务计划表!Q181-人员资源情况!A$2,0)))*R181*S181</f>
        <v/>
      </c>
      <c r="W109" s="0">
        <f>IF(V181&lt;0,0,V181)</f>
        <v/>
      </c>
    </row>
    <row r="110">
      <c r="E110" s="0" t="inlineStr">
        <is>
          <t>欧洲</t>
        </is>
      </c>
      <c r="F110" s="0" t="inlineStr">
        <is>
          <t>欧洲短款表</t>
        </is>
      </c>
      <c r="G110" s="0" t="inlineStr">
        <is>
          <t>2026-07-13</t>
        </is>
      </c>
      <c r="H110" s="0" t="inlineStr">
        <is>
          <t>2027-03-28</t>
        </is>
      </c>
      <c r="I110" s="0" t="inlineStr">
        <is>
          <t>TR4</t>
        </is>
      </c>
      <c r="J110" s="0" t="inlineStr">
        <is>
          <t>控制开发</t>
        </is>
      </c>
      <c r="K110" s="0" t="inlineStr">
        <is>
          <t>@李昊龙(80016809)</t>
        </is>
      </c>
      <c r="L110" s="0" t="inlineStr">
        <is>
          <t>2026-08-13</t>
        </is>
      </c>
      <c r="M110" s="0" t="inlineStr">
        <is>
          <t>2026-08-19</t>
        </is>
      </c>
      <c r="N110" s="0" t="n">
        <v>6</v>
      </c>
      <c r="O110" s="0">
        <f>任务计划表!K182</f>
        <v/>
      </c>
      <c r="P110" s="0">
        <f>IF(IF(任务计划表!L182="/",人员资源情况!$A$2,L182)&gt;M182,M182,(IF(任务计划表!L182="/",人员资源情况!$A$2,L182)))</f>
        <v/>
      </c>
      <c r="Q110" s="0">
        <f>IF(M182="/",人员资源情况!$B$2,任务计划表!M182)</f>
        <v/>
      </c>
      <c r="R110" s="0">
        <f>任务计划表!N182</f>
        <v/>
      </c>
      <c r="S110" s="0">
        <f>IF(O182=人员资源情况!C$2,1,0)</f>
        <v/>
      </c>
      <c r="T110" s="0">
        <f>IF(P182&gt;=人员资源情况!A$2,1,0)</f>
        <v/>
      </c>
      <c r="U110" s="0">
        <f>IF(Q182&lt;=人员资源情况!B$2,1,0)</f>
        <v/>
      </c>
      <c r="V110" s="0">
        <f>IF(T182*U182,Q182-P182,IF(T182&gt;U182,人员资源情况!B$2-P182,IF(T182&lt;U182,任务计划表!Q182-人员资源情况!A$2,0)))*R182*S182</f>
        <v/>
      </c>
      <c r="W110" s="0">
        <f>IF(V182&lt;0,0,V182)</f>
        <v/>
      </c>
    </row>
    <row r="111">
      <c r="E111" s="0" t="inlineStr">
        <is>
          <t>欧洲</t>
        </is>
      </c>
      <c r="F111" s="0" t="inlineStr">
        <is>
          <t>欧洲短款表</t>
        </is>
      </c>
      <c r="G111" s="0" t="inlineStr">
        <is>
          <t>2026-07-13</t>
        </is>
      </c>
      <c r="H111" s="0" t="inlineStr">
        <is>
          <t>2027-03-28</t>
        </is>
      </c>
      <c r="I111" s="0" t="inlineStr">
        <is>
          <t>TR4</t>
        </is>
      </c>
      <c r="J111" s="0" t="inlineStr">
        <is>
          <t>通讯开发</t>
        </is>
      </c>
      <c r="K111" s="0" t="inlineStr">
        <is>
          <t>@袁琮欣(80015786)(袁琮欣)</t>
        </is>
      </c>
      <c r="L111" s="0" t="inlineStr">
        <is>
          <t>2026-08-20</t>
        </is>
      </c>
      <c r="M111" s="0" t="inlineStr">
        <is>
          <t>2026-08-29</t>
        </is>
      </c>
      <c r="N111" s="0" t="n">
        <v>6</v>
      </c>
      <c r="O111" s="0">
        <f>任务计划表!K183</f>
        <v/>
      </c>
      <c r="P111" s="0">
        <f>IF(IF(任务计划表!L183="/",人员资源情况!$A$2,L183)&gt;M183,M183,(IF(任务计划表!L183="/",人员资源情况!$A$2,L183)))</f>
        <v/>
      </c>
      <c r="Q111" s="0">
        <f>IF(M183="/",人员资源情况!$B$2,任务计划表!M183)</f>
        <v/>
      </c>
      <c r="R111" s="0">
        <f>任务计划表!N183</f>
        <v/>
      </c>
      <c r="S111" s="0">
        <f>IF(O183=人员资源情况!C$2,1,0)</f>
        <v/>
      </c>
      <c r="T111" s="0">
        <f>IF(P183&gt;=人员资源情况!A$2,1,0)</f>
        <v/>
      </c>
      <c r="U111" s="0">
        <f>IF(Q183&lt;=人员资源情况!B$2,1,0)</f>
        <v/>
      </c>
      <c r="V111" s="0">
        <f>IF(T183*U183,Q183-P183,IF(T183&gt;U183,人员资源情况!B$2-P183,IF(T183&lt;U183,任务计划表!Q183-人员资源情况!A$2,0)))*R183*S183</f>
        <v/>
      </c>
      <c r="W111" s="0">
        <f>IF(V183&lt;0,0,V183)</f>
        <v/>
      </c>
    </row>
    <row r="112">
      <c r="E112" s="0" t="inlineStr">
        <is>
          <t>欧洲</t>
        </is>
      </c>
      <c r="F112" s="0" t="inlineStr">
        <is>
          <t>欧洲短款表</t>
        </is>
      </c>
      <c r="G112" s="0" t="inlineStr">
        <is>
          <t>2026-07-13</t>
        </is>
      </c>
      <c r="H112" s="0" t="inlineStr">
        <is>
          <t>2027-03-28</t>
        </is>
      </c>
      <c r="I112" s="0" t="inlineStr">
        <is>
          <t>TR4</t>
        </is>
      </c>
      <c r="J112" s="0" t="inlineStr">
        <is>
          <t>快照开发</t>
        </is>
      </c>
      <c r="K112" s="0" t="inlineStr">
        <is>
          <t>@李昊龙(80016809)</t>
        </is>
      </c>
      <c r="L112" s="0" t="inlineStr">
        <is>
          <t>2026-08-17</t>
        </is>
      </c>
      <c r="M112" s="0" t="inlineStr">
        <is>
          <t>2026-08-21</t>
        </is>
      </c>
      <c r="N112" s="0" t="n">
        <v>6</v>
      </c>
      <c r="O112" s="0">
        <f>任务计划表!K184</f>
        <v/>
      </c>
      <c r="P112" s="0">
        <f>IF(IF(任务计划表!L184="/",人员资源情况!$A$2,L184)&gt;M184,M184,(IF(任务计划表!L184="/",人员资源情况!$A$2,L184)))</f>
        <v/>
      </c>
      <c r="Q112" s="0">
        <f>IF(M184="/",人员资源情况!$B$2,任务计划表!M184)</f>
        <v/>
      </c>
      <c r="R112" s="0">
        <f>任务计划表!N184</f>
        <v/>
      </c>
      <c r="S112" s="0">
        <f>IF(O184=人员资源情况!C$2,1,0)</f>
        <v/>
      </c>
      <c r="T112" s="0">
        <f>IF(P184&gt;=人员资源情况!A$2,1,0)</f>
        <v/>
      </c>
      <c r="U112" s="0">
        <f>IF(Q184&lt;=人员资源情况!B$2,1,0)</f>
        <v/>
      </c>
      <c r="V112" s="0">
        <f>IF(T184*U184,Q184-P184,IF(T184&gt;U184,人员资源情况!B$2-P184,IF(T184&lt;U184,任务计划表!Q184-人员资源情况!A$2,0)))*R184*S184</f>
        <v/>
      </c>
      <c r="W112" s="0">
        <f>IF(V184&lt;0,0,V184)</f>
        <v/>
      </c>
    </row>
    <row r="113">
      <c r="E113" s="0" t="inlineStr">
        <is>
          <t>欧洲</t>
        </is>
      </c>
      <c r="F113" s="0" t="inlineStr">
        <is>
          <t>欧洲短款表</t>
        </is>
      </c>
      <c r="G113" s="0" t="inlineStr">
        <is>
          <t>2026-07-13</t>
        </is>
      </c>
      <c r="H113" s="0" t="inlineStr">
        <is>
          <t>2027-03-28</t>
        </is>
      </c>
      <c r="I113" s="0" t="inlineStr">
        <is>
          <t>TR4</t>
        </is>
      </c>
      <c r="J113" s="0" t="inlineStr">
        <is>
          <t>生产相关开发</t>
        </is>
      </c>
      <c r="K113" s="0" t="inlineStr">
        <is>
          <t>@李昊龙(80016809)</t>
        </is>
      </c>
      <c r="L113" s="0" t="inlineStr">
        <is>
          <t>2026-08-22</t>
        </is>
      </c>
      <c r="M113" s="0" t="inlineStr">
        <is>
          <t>2026-08-30</t>
        </is>
      </c>
      <c r="N113" s="0" t="n">
        <v>6</v>
      </c>
      <c r="O113" s="0">
        <f>任务计划表!K185</f>
        <v/>
      </c>
      <c r="P113" s="0">
        <f>IF(IF(任务计划表!L185="/",人员资源情况!$A$2,L185)&gt;M185,M185,(IF(任务计划表!L185="/",人员资源情况!$A$2,L185)))</f>
        <v/>
      </c>
      <c r="Q113" s="0">
        <f>IF(M185="/",人员资源情况!$B$2,任务计划表!M185)</f>
        <v/>
      </c>
      <c r="R113" s="0">
        <f>任务计划表!N185</f>
        <v/>
      </c>
      <c r="S113" s="0">
        <f>IF(O185=人员资源情况!C$2,1,0)</f>
        <v/>
      </c>
      <c r="T113" s="0">
        <f>IF(P185&gt;=人员资源情况!A$2,1,0)</f>
        <v/>
      </c>
      <c r="U113" s="0">
        <f>IF(Q185&lt;=人员资源情况!B$2,1,0)</f>
        <v/>
      </c>
      <c r="V113" s="0">
        <f>IF(T185*U185,Q185-P185,IF(T185&gt;U185,人员资源情况!B$2-P185,IF(T185&lt;U185,任务计划表!Q185-人员资源情况!A$2,0)))*R185*S185</f>
        <v/>
      </c>
      <c r="W113" s="0">
        <f>IF(V185&lt;0,0,V185)</f>
        <v/>
      </c>
    </row>
    <row r="114">
      <c r="E114" s="0" t="inlineStr">
        <is>
          <t>欧洲</t>
        </is>
      </c>
      <c r="F114" s="0" t="inlineStr">
        <is>
          <t>欧洲短款表</t>
        </is>
      </c>
      <c r="G114" s="0" t="inlineStr">
        <is>
          <t>2026-07-13</t>
        </is>
      </c>
      <c r="H114" s="0" t="inlineStr">
        <is>
          <t>2027-03-28</t>
        </is>
      </c>
      <c r="I114" s="0" t="inlineStr">
        <is>
          <t>TR4</t>
        </is>
      </c>
      <c r="J114" s="0" t="inlineStr">
        <is>
          <t>固件验证阶段</t>
        </is>
      </c>
      <c r="K114" s="0" t="inlineStr">
        <is>
          <t>张国庆</t>
        </is>
      </c>
      <c r="L114" s="0" t="inlineStr">
        <is>
          <t>2026-09-10</t>
        </is>
      </c>
      <c r="M114" s="0" t="inlineStr">
        <is>
          <t>2026-09-13</t>
        </is>
      </c>
      <c r="N114" s="0" t="n">
        <v>6</v>
      </c>
      <c r="O114" s="0">
        <f>任务计划表!K186</f>
        <v/>
      </c>
      <c r="P114" s="0">
        <f>IF(IF(任务计划表!L186="/",人员资源情况!$A$2,L186)&gt;M186,M186,(IF(任务计划表!L186="/",人员资源情况!$A$2,L186)))</f>
        <v/>
      </c>
      <c r="Q114" s="0">
        <f>IF(M186="/",人员资源情况!$B$2,任务计划表!M186)</f>
        <v/>
      </c>
      <c r="R114" s="0">
        <f>任务计划表!N186</f>
        <v/>
      </c>
      <c r="S114" s="0">
        <f>IF(O186=人员资源情况!C$2,1,0)</f>
        <v/>
      </c>
      <c r="T114" s="0">
        <f>IF(P186&gt;=人员资源情况!A$2,1,0)</f>
        <v/>
      </c>
      <c r="U114" s="0">
        <f>IF(Q186&lt;=人员资源情况!B$2,1,0)</f>
        <v/>
      </c>
      <c r="V114" s="0">
        <f>IF(T186*U186,Q186-P186,IF(T186&gt;U186,人员资源情况!B$2-P186,IF(T186&lt;U186,任务计划表!Q186-人员资源情况!A$2,0)))*R186*S186</f>
        <v/>
      </c>
      <c r="W114" s="0">
        <f>IF(V186&lt;0,0,V186)</f>
        <v/>
      </c>
    </row>
    <row r="115">
      <c r="E115" s="0" t="inlineStr">
        <is>
          <t>欧洲</t>
        </is>
      </c>
      <c r="F115" s="0" t="inlineStr">
        <is>
          <t>欧洲短款表</t>
        </is>
      </c>
      <c r="G115" s="0" t="inlineStr">
        <is>
          <t>2026-07-13</t>
        </is>
      </c>
      <c r="H115" s="0" t="inlineStr">
        <is>
          <t>2027-03-28</t>
        </is>
      </c>
      <c r="I115" s="0" t="inlineStr">
        <is>
          <t>TR4</t>
        </is>
      </c>
      <c r="J115" s="0" t="inlineStr">
        <is>
          <t>测试方案(大纲）设计</t>
        </is>
      </c>
      <c r="K115" s="0" t="inlineStr">
        <is>
          <t>@袁知正</t>
        </is>
      </c>
      <c r="L115" s="0" t="inlineStr">
        <is>
          <t>2026-08-08</t>
        </is>
      </c>
      <c r="M115" s="0" t="inlineStr">
        <is>
          <t>2026-08-12</t>
        </is>
      </c>
      <c r="N115" s="0" t="n">
        <v>5</v>
      </c>
      <c r="O115" s="0">
        <f>任务计划表!K187</f>
        <v/>
      </c>
      <c r="P115" s="0">
        <f>IF(IF(任务计划表!L187="/",人员资源情况!$A$2,L187)&gt;M187,M187,(IF(任务计划表!L187="/",人员资源情况!$A$2,L187)))</f>
        <v/>
      </c>
      <c r="Q115" s="0">
        <f>IF(M187="/",人员资源情况!$B$2,任务计划表!M187)</f>
        <v/>
      </c>
      <c r="R115" s="0">
        <f>任务计划表!N187</f>
        <v/>
      </c>
      <c r="S115" s="0">
        <f>IF(O187=人员资源情况!C$2,1,0)</f>
        <v/>
      </c>
      <c r="T115" s="0">
        <f>IF(P187&gt;=人员资源情况!A$2,1,0)</f>
        <v/>
      </c>
      <c r="U115" s="0">
        <f>IF(Q187&lt;=人员资源情况!B$2,1,0)</f>
        <v/>
      </c>
      <c r="V115" s="0">
        <f>IF(T187*U187,Q187-P187,IF(T187&gt;U187,人员资源情况!B$2-P187,IF(T187&lt;U187,任务计划表!Q187-人员资源情况!A$2,0)))*R187*S187</f>
        <v/>
      </c>
      <c r="W115" s="0">
        <f>IF(V187&lt;0,0,V187)</f>
        <v/>
      </c>
    </row>
    <row r="116">
      <c r="E116" s="0" t="inlineStr">
        <is>
          <t>欧洲</t>
        </is>
      </c>
      <c r="F116" s="0" t="inlineStr">
        <is>
          <t>欧洲短款表</t>
        </is>
      </c>
      <c r="G116" s="0" t="inlineStr">
        <is>
          <t>2026-07-13</t>
        </is>
      </c>
      <c r="H116" s="0" t="inlineStr">
        <is>
          <t>2027-03-28</t>
        </is>
      </c>
      <c r="I116" s="0" t="inlineStr">
        <is>
          <t>TR4</t>
        </is>
      </c>
      <c r="J116" s="0" t="inlineStr">
        <is>
          <t>测试方案（大纲）评审</t>
        </is>
      </c>
      <c r="K116" s="0" t="inlineStr">
        <is>
          <t>@袁知正</t>
        </is>
      </c>
      <c r="L116" s="0" t="inlineStr">
        <is>
          <t>2026-08-13</t>
        </is>
      </c>
      <c r="M116" s="0" t="inlineStr">
        <is>
          <t>2026-08-13</t>
        </is>
      </c>
      <c r="N116" s="0" t="n">
        <v>5</v>
      </c>
      <c r="O116" s="0">
        <f>任务计划表!K188</f>
        <v/>
      </c>
      <c r="P116" s="0">
        <f>IF(IF(任务计划表!L188="/",人员资源情况!$A$2,L188)&gt;M188,M188,(IF(任务计划表!L188="/",人员资源情况!$A$2,L188)))</f>
        <v/>
      </c>
      <c r="Q116" s="0">
        <f>IF(M188="/",人员资源情况!$B$2,任务计划表!M188)</f>
        <v/>
      </c>
      <c r="R116" s="0">
        <f>任务计划表!N188</f>
        <v/>
      </c>
      <c r="S116" s="0">
        <f>IF(O188=人员资源情况!C$2,1,0)</f>
        <v/>
      </c>
      <c r="T116" s="0">
        <f>IF(P188&gt;=人员资源情况!A$2,1,0)</f>
        <v/>
      </c>
      <c r="U116" s="0">
        <f>IF(Q188&lt;=人员资源情况!B$2,1,0)</f>
        <v/>
      </c>
      <c r="V116" s="0">
        <f>IF(T188*U188,Q188-P188,IF(T188&gt;U188,人员资源情况!B$2-P188,IF(T188&lt;U188,任务计划表!Q188-人员资源情况!A$2,0)))*R188*S188</f>
        <v/>
      </c>
      <c r="W116" s="0">
        <f>IF(V188&lt;0,0,V188)</f>
        <v/>
      </c>
    </row>
    <row r="117">
      <c r="E117" s="0" t="inlineStr">
        <is>
          <t>欧洲</t>
        </is>
      </c>
      <c r="F117" s="0" t="inlineStr">
        <is>
          <t>欧洲短款表</t>
        </is>
      </c>
      <c r="G117" s="0" t="inlineStr">
        <is>
          <t>2026-07-13</t>
        </is>
      </c>
      <c r="H117" s="0" t="inlineStr">
        <is>
          <t>2027-03-28</t>
        </is>
      </c>
      <c r="I117" s="0" t="inlineStr">
        <is>
          <t>TR4</t>
        </is>
      </c>
      <c r="J117" s="0" t="inlineStr">
        <is>
          <t>测试用例评审</t>
        </is>
      </c>
      <c r="K117" s="0" t="inlineStr">
        <is>
          <t>@袁知正</t>
        </is>
      </c>
      <c r="L117" s="0" t="inlineStr">
        <is>
          <t>2026-08-14</t>
        </is>
      </c>
      <c r="M117" s="0" t="inlineStr">
        <is>
          <t>2026-08-31</t>
        </is>
      </c>
      <c r="N117" s="0" t="n">
        <v>5</v>
      </c>
      <c r="O117" s="0">
        <f>任务计划表!K189</f>
        <v/>
      </c>
      <c r="P117" s="0">
        <f>IF(IF(任务计划表!L189="/",人员资源情况!$A$2,L189)&gt;M189,M189,(IF(任务计划表!L189="/",人员资源情况!$A$2,L189)))</f>
        <v/>
      </c>
      <c r="Q117" s="0">
        <f>IF(M189="/",人员资源情况!$B$2,任务计划表!M189)</f>
        <v/>
      </c>
      <c r="R117" s="0">
        <f>任务计划表!N189</f>
        <v/>
      </c>
      <c r="S117" s="0">
        <f>IF(O189=人员资源情况!C$2,1,0)</f>
        <v/>
      </c>
      <c r="T117" s="0">
        <f>IF(P189&gt;=人员资源情况!A$2,1,0)</f>
        <v/>
      </c>
      <c r="U117" s="0">
        <f>IF(Q189&lt;=人员资源情况!B$2,1,0)</f>
        <v/>
      </c>
      <c r="V117" s="0">
        <f>IF(T189*U189,Q189-P189,IF(T189&gt;U189,人员资源情况!B$2-P189,IF(T189&lt;U189,任务计划表!Q189-人员资源情况!A$2,0)))*R189*S189</f>
        <v/>
      </c>
      <c r="W117" s="0">
        <f>IF(V189&lt;0,0,V189)</f>
        <v/>
      </c>
    </row>
    <row r="118">
      <c r="E118" s="0" t="inlineStr">
        <is>
          <t>欧洲</t>
        </is>
      </c>
      <c r="F118" s="0" t="inlineStr">
        <is>
          <t>欧洲短款表</t>
        </is>
      </c>
      <c r="G118" s="0" t="inlineStr">
        <is>
          <t>2026-07-13</t>
        </is>
      </c>
      <c r="H118" s="0" t="inlineStr">
        <is>
          <t>2027-03-28</t>
        </is>
      </c>
      <c r="I118" s="0" t="inlineStr">
        <is>
          <t>TR4</t>
        </is>
      </c>
      <c r="J118" s="0" t="inlineStr">
        <is>
          <t>辅助器具设计</t>
        </is>
      </c>
      <c r="K118" s="0" t="inlineStr">
        <is>
          <t>@肖庆阳</t>
        </is>
      </c>
      <c r="L118" s="0" t="inlineStr">
        <is>
          <t>2026-08-08</t>
        </is>
      </c>
      <c r="M118" s="0" t="inlineStr">
        <is>
          <t>2026-09-21</t>
        </is>
      </c>
      <c r="N118" s="0" t="n">
        <v>3</v>
      </c>
      <c r="O118" s="0">
        <f>任务计划表!K190</f>
        <v/>
      </c>
      <c r="P118" s="0">
        <f>IF(IF(任务计划表!L190="/",人员资源情况!$A$2,L190)&gt;M190,M190,(IF(任务计划表!L190="/",人员资源情况!$A$2,L190)))</f>
        <v/>
      </c>
      <c r="Q118" s="0">
        <f>IF(M190="/",人员资源情况!$B$2,任务计划表!M190)</f>
        <v/>
      </c>
      <c r="R118" s="0">
        <f>任务计划表!N190</f>
        <v/>
      </c>
      <c r="S118" s="0">
        <f>IF(O190=人员资源情况!C$2,1,0)</f>
        <v/>
      </c>
      <c r="T118" s="0">
        <f>IF(P190&gt;=人员资源情况!A$2,1,0)</f>
        <v/>
      </c>
      <c r="U118" s="0">
        <f>IF(Q190&lt;=人员资源情况!B$2,1,0)</f>
        <v/>
      </c>
      <c r="V118" s="0">
        <f>IF(T190*U190,Q190-P190,IF(T190&gt;U190,人员资源情况!B$2-P190,IF(T190&lt;U190,任务计划表!Q190-人员资源情况!A$2,0)))*R190*S190</f>
        <v/>
      </c>
      <c r="W118" s="0">
        <f>IF(V190&lt;0,0,V190)</f>
        <v/>
      </c>
    </row>
    <row r="119">
      <c r="E119" s="0" t="inlineStr">
        <is>
          <t>欧洲</t>
        </is>
      </c>
      <c r="F119" s="0" t="inlineStr">
        <is>
          <t>欧洲短款表</t>
        </is>
      </c>
      <c r="G119" s="0" t="inlineStr">
        <is>
          <t>2026-07-13</t>
        </is>
      </c>
      <c r="H119" s="0" t="inlineStr">
        <is>
          <t>2027-03-28</t>
        </is>
      </c>
      <c r="I119" s="0" t="inlineStr">
        <is>
          <t>TR4A</t>
        </is>
      </c>
      <c r="J119" s="0" t="inlineStr">
        <is>
          <t>EVT机下单</t>
        </is>
      </c>
      <c r="K119" s="0" t="inlineStr">
        <is>
          <t xml:space="preserve"> @韩燕飞</t>
        </is>
      </c>
      <c r="L119" s="0" t="inlineStr">
        <is>
          <t>2026-08-13</t>
        </is>
      </c>
      <c r="M119" s="0" t="inlineStr">
        <is>
          <t>2026-08-13</t>
        </is>
      </c>
      <c r="N119" s="0" t="n">
        <v>1</v>
      </c>
      <c r="O119" s="0">
        <f>任务计划表!K191</f>
        <v/>
      </c>
      <c r="P119" s="0">
        <f>IF(IF(任务计划表!L191="/",人员资源情况!$A$2,L191)&gt;M191,M191,(IF(任务计划表!L191="/",人员资源情况!$A$2,L191)))</f>
        <v/>
      </c>
      <c r="Q119" s="0">
        <f>IF(M191="/",人员资源情况!$B$2,任务计划表!M191)</f>
        <v/>
      </c>
      <c r="R119" s="0">
        <f>任务计划表!N191</f>
        <v/>
      </c>
      <c r="S119" s="0">
        <f>IF(O191=人员资源情况!C$2,1,0)</f>
        <v/>
      </c>
      <c r="T119" s="0">
        <f>IF(P191&gt;=人员资源情况!A$2,1,0)</f>
        <v/>
      </c>
      <c r="U119" s="0">
        <f>IF(Q191&lt;=人员资源情况!B$2,1,0)</f>
        <v/>
      </c>
      <c r="V119" s="0">
        <f>IF(T191*U191,Q191-P191,IF(T191&gt;U191,人员资源情况!B$2-P191,IF(T191&lt;U191,任务计划表!Q191-人员资源情况!A$2,0)))*R191*S191</f>
        <v/>
      </c>
      <c r="W119" s="0">
        <f>IF(V191&lt;0,0,V191)</f>
        <v/>
      </c>
    </row>
    <row r="120">
      <c r="E120" s="0" t="inlineStr">
        <is>
          <t>欧洲</t>
        </is>
      </c>
      <c r="F120" s="0" t="inlineStr">
        <is>
          <t>欧洲短款表</t>
        </is>
      </c>
      <c r="G120" s="0" t="inlineStr">
        <is>
          <t>2026-07-13</t>
        </is>
      </c>
      <c r="H120" s="0" t="inlineStr">
        <is>
          <t>2027-03-28</t>
        </is>
      </c>
      <c r="I120" s="0" t="inlineStr">
        <is>
          <t>TR4A</t>
        </is>
      </c>
      <c r="J120" s="0" t="inlineStr">
        <is>
          <t>EVT-原型样机BOM归档</t>
        </is>
      </c>
      <c r="K120" s="0" t="inlineStr">
        <is>
          <t>@童景顺(80004217)(童景顺)</t>
        </is>
      </c>
      <c r="L120" s="0" t="inlineStr">
        <is>
          <t>2026-08-14</t>
        </is>
      </c>
      <c r="M120" s="0" t="inlineStr">
        <is>
          <t>2026-08-14</t>
        </is>
      </c>
      <c r="N120" s="0" t="n">
        <v>1</v>
      </c>
      <c r="O120" s="0">
        <f>任务计划表!K192</f>
        <v/>
      </c>
      <c r="P120" s="0">
        <f>IF(IF(任务计划表!L192="/",人员资源情况!$A$2,L192)&gt;M192,M192,(IF(任务计划表!L192="/",人员资源情况!$A$2,L192)))</f>
        <v/>
      </c>
      <c r="Q120" s="0">
        <f>IF(M192="/",人员资源情况!$B$2,任务计划表!M192)</f>
        <v/>
      </c>
      <c r="R120" s="0">
        <f>任务计划表!N192</f>
        <v/>
      </c>
      <c r="S120" s="0">
        <f>IF(O192=人员资源情况!C$2,1,0)</f>
        <v/>
      </c>
      <c r="T120" s="0">
        <f>IF(P192&gt;=人员资源情况!A$2,1,0)</f>
        <v/>
      </c>
      <c r="U120" s="0">
        <f>IF(Q192&lt;=人员资源情况!B$2,1,0)</f>
        <v/>
      </c>
      <c r="V120" s="0">
        <f>IF(T192*U192,Q192-P192,IF(T192&gt;U192,人员资源情况!B$2-P192,IF(T192&lt;U192,任务计划表!Q192-人员资源情况!A$2,0)))*R192*S192</f>
        <v/>
      </c>
      <c r="W120" s="0">
        <f>IF(V192&lt;0,0,V192)</f>
        <v/>
      </c>
    </row>
    <row r="121">
      <c r="E121" s="0" t="inlineStr">
        <is>
          <t>欧洲</t>
        </is>
      </c>
      <c r="F121" s="0" t="inlineStr">
        <is>
          <t>欧洲短款表</t>
        </is>
      </c>
      <c r="G121" s="0" t="inlineStr">
        <is>
          <t>2026-07-13</t>
        </is>
      </c>
      <c r="H121" s="0" t="inlineStr">
        <is>
          <t>2027-03-28</t>
        </is>
      </c>
      <c r="I121" s="0" t="inlineStr">
        <is>
          <t>TR4A</t>
        </is>
      </c>
      <c r="J121" s="0" t="inlineStr">
        <is>
          <t>原型样机采购</t>
        </is>
      </c>
      <c r="K121" s="0" t="inlineStr">
        <is>
          <t xml:space="preserve"> @采购</t>
        </is>
      </c>
      <c r="L121" s="0" t="inlineStr">
        <is>
          <t>2026-08-15</t>
        </is>
      </c>
      <c r="M121" s="0" t="inlineStr">
        <is>
          <t>2026-09-09</t>
        </is>
      </c>
      <c r="N121" s="0" t="n">
        <v>0</v>
      </c>
      <c r="O121" s="0">
        <f>任务计划表!K193</f>
        <v/>
      </c>
      <c r="P121" s="0">
        <f>IF(IF(任务计划表!L193="/",人员资源情况!$A$2,L193)&gt;M193,M193,(IF(任务计划表!L193="/",人员资源情况!$A$2,L193)))</f>
        <v/>
      </c>
      <c r="Q121" s="0">
        <f>IF(M193="/",人员资源情况!$B$2,任务计划表!M193)</f>
        <v/>
      </c>
      <c r="R121" s="0">
        <f>任务计划表!N193</f>
        <v/>
      </c>
      <c r="S121" s="0">
        <f>IF(O193=人员资源情况!C$2,1,0)</f>
        <v/>
      </c>
      <c r="T121" s="0">
        <f>IF(P193&gt;=人员资源情况!A$2,1,0)</f>
        <v/>
      </c>
      <c r="U121" s="0">
        <f>IF(Q193&lt;=人员资源情况!B$2,1,0)</f>
        <v/>
      </c>
      <c r="V121" s="0">
        <f>IF(T193*U193,Q193-P193,IF(T193&gt;U193,人员资源情况!B$2-P193,IF(T193&lt;U193,任务计划表!Q193-人员资源情况!A$2,0)))*R193*S193</f>
        <v/>
      </c>
      <c r="W121" s="0">
        <f>IF(V193&lt;0,0,V193)</f>
        <v/>
      </c>
    </row>
    <row r="122">
      <c r="E122" s="0" t="inlineStr">
        <is>
          <t>欧洲</t>
        </is>
      </c>
      <c r="F122" s="0" t="inlineStr">
        <is>
          <t>欧洲短款表</t>
        </is>
      </c>
      <c r="G122" s="0" t="inlineStr">
        <is>
          <t>2026-07-13</t>
        </is>
      </c>
      <c r="H122" s="0" t="inlineStr">
        <is>
          <t>2027-03-28</t>
        </is>
      </c>
      <c r="I122" s="0" t="inlineStr">
        <is>
          <t>TR4A</t>
        </is>
      </c>
      <c r="J122" s="0" t="inlineStr">
        <is>
          <t>原先相机生产</t>
        </is>
      </c>
      <c r="K122" s="0" t="inlineStr">
        <is>
          <t>@文春英</t>
        </is>
      </c>
      <c r="L122" s="0" t="inlineStr">
        <is>
          <t>2026-09-10</t>
        </is>
      </c>
      <c r="M122" s="0" t="inlineStr">
        <is>
          <t>2026-09-12</t>
        </is>
      </c>
      <c r="N122" s="0" t="n">
        <v>8</v>
      </c>
      <c r="O122" s="0">
        <f>任务计划表!K194</f>
        <v/>
      </c>
      <c r="P122" s="0">
        <f>IF(IF(任务计划表!L194="/",人员资源情况!$A$2,L194)&gt;M194,M194,(IF(任务计划表!L194="/",人员资源情况!$A$2,L194)))</f>
        <v/>
      </c>
      <c r="Q122" s="0">
        <f>IF(M194="/",人员资源情况!$B$2,任务计划表!M194)</f>
        <v/>
      </c>
      <c r="R122" s="0">
        <f>任务计划表!N194</f>
        <v/>
      </c>
      <c r="S122" s="0">
        <f>IF(O194=人员资源情况!C$2,1,0)</f>
        <v/>
      </c>
      <c r="T122" s="0">
        <f>IF(P194&gt;=人员资源情况!A$2,1,0)</f>
        <v/>
      </c>
      <c r="U122" s="0">
        <f>IF(Q194&lt;=人员资源情况!B$2,1,0)</f>
        <v/>
      </c>
      <c r="V122" s="0">
        <f>IF(T194*U194,Q194-P194,IF(T194&gt;U194,人员资源情况!B$2-P194,IF(T194&lt;U194,任务计划表!Q194-人员资源情况!A$2,0)))*R194*S194</f>
        <v/>
      </c>
      <c r="W122" s="0">
        <f>IF(V194&lt;0,0,V194)</f>
        <v/>
      </c>
    </row>
    <row r="123">
      <c r="E123" s="0" t="inlineStr">
        <is>
          <t>欧洲</t>
        </is>
      </c>
      <c r="F123" s="0" t="inlineStr">
        <is>
          <t>欧洲短款表</t>
        </is>
      </c>
      <c r="G123" s="0" t="inlineStr">
        <is>
          <t>2026-07-13</t>
        </is>
      </c>
      <c r="H123" s="0" t="inlineStr">
        <is>
          <t>2027-03-28</t>
        </is>
      </c>
      <c r="I123" s="0" t="inlineStr">
        <is>
          <t>TR4A</t>
        </is>
      </c>
      <c r="J123" s="0" t="inlineStr">
        <is>
          <t>可生产性评估</t>
        </is>
      </c>
      <c r="K123" s="0" t="inlineStr">
        <is>
          <t>@肖庆阳</t>
        </is>
      </c>
      <c r="L123" s="0" t="inlineStr">
        <is>
          <t>2026-09-11</t>
        </is>
      </c>
      <c r="M123" s="0" t="inlineStr">
        <is>
          <t>2026-09-13</t>
        </is>
      </c>
      <c r="N123" s="0" t="n">
        <v>8</v>
      </c>
      <c r="O123" s="0">
        <f>任务计划表!K195</f>
        <v/>
      </c>
      <c r="P123" s="0">
        <f>IF(IF(任务计划表!L195="/",人员资源情况!$A$2,L195)&gt;M195,M195,(IF(任务计划表!L195="/",人员资源情况!$A$2,L195)))</f>
        <v/>
      </c>
      <c r="Q123" s="0">
        <f>IF(M195="/",人员资源情况!$B$2,任务计划表!M195)</f>
        <v/>
      </c>
      <c r="R123" s="0">
        <f>任务计划表!N195</f>
        <v/>
      </c>
      <c r="S123" s="0">
        <f>IF(O195=人员资源情况!C$2,1,0)</f>
        <v/>
      </c>
      <c r="T123" s="0">
        <f>IF(P195&gt;=人员资源情况!A$2,1,0)</f>
        <v/>
      </c>
      <c r="U123" s="0">
        <f>IF(Q195&lt;=人员资源情况!B$2,1,0)</f>
        <v/>
      </c>
      <c r="V123" s="0">
        <f>IF(T195*U195,Q195-P195,IF(T195&gt;U195,人员资源情况!B$2-P195,IF(T195&lt;U195,任务计划表!Q195-人员资源情况!A$2,0)))*R195*S195</f>
        <v/>
      </c>
      <c r="W123" s="0">
        <f>IF(V195&lt;0,0,V195)</f>
        <v/>
      </c>
    </row>
    <row r="124">
      <c r="E124" s="0" t="inlineStr">
        <is>
          <t>欧洲</t>
        </is>
      </c>
      <c r="F124" s="0" t="inlineStr">
        <is>
          <t>欧洲短款表</t>
        </is>
      </c>
      <c r="G124" s="0" t="inlineStr">
        <is>
          <t>2026-07-13</t>
        </is>
      </c>
      <c r="H124" s="0" t="inlineStr">
        <is>
          <t>2027-03-28</t>
        </is>
      </c>
      <c r="I124" s="0" t="inlineStr">
        <is>
          <t>TR4A</t>
        </is>
      </c>
      <c r="J124" s="0" t="inlineStr">
        <is>
          <t>内测/单元测试</t>
        </is>
      </c>
      <c r="K124" s="0" t="inlineStr">
        <is>
          <t>@童景顺(80004217)(童景顺)</t>
        </is>
      </c>
      <c r="L124" s="0" t="inlineStr">
        <is>
          <t>2026-09-12</t>
        </is>
      </c>
      <c r="M124" s="0" t="inlineStr">
        <is>
          <t>2026-09-18</t>
        </is>
      </c>
      <c r="N124" s="0" t="n">
        <v>3</v>
      </c>
      <c r="O124" s="0">
        <f>任务计划表!K196</f>
        <v/>
      </c>
      <c r="P124" s="0">
        <f>IF(IF(任务计划表!L196="/",人员资源情况!$A$2,L196)&gt;M196,M196,(IF(任务计划表!L196="/",人员资源情况!$A$2,L196)))</f>
        <v/>
      </c>
      <c r="Q124" s="0">
        <f>IF(M196="/",人员资源情况!$B$2,任务计划表!M196)</f>
        <v/>
      </c>
      <c r="R124" s="0">
        <f>任务计划表!N196</f>
        <v/>
      </c>
      <c r="S124" s="0">
        <f>IF(O196=人员资源情况!C$2,1,0)</f>
        <v/>
      </c>
      <c r="T124" s="0">
        <f>IF(P196&gt;=人员资源情况!A$2,1,0)</f>
        <v/>
      </c>
      <c r="U124" s="0">
        <f>IF(Q196&lt;=人员资源情况!B$2,1,0)</f>
        <v/>
      </c>
      <c r="V124" s="0">
        <f>IF(T196*U196,Q196-P196,IF(T196&gt;U196,人员资源情况!B$2-P196,IF(T196&lt;U196,任务计划表!Q196-人员资源情况!A$2,0)))*R196*S196</f>
        <v/>
      </c>
      <c r="W124" s="0">
        <f>IF(V196&lt;0,0,V196)</f>
        <v/>
      </c>
    </row>
    <row r="125">
      <c r="E125" s="0" t="inlineStr">
        <is>
          <t>欧洲</t>
        </is>
      </c>
      <c r="F125" s="0" t="inlineStr">
        <is>
          <t>欧洲短款表</t>
        </is>
      </c>
      <c r="G125" s="0" t="inlineStr">
        <is>
          <t>2026-07-13</t>
        </is>
      </c>
      <c r="H125" s="0" t="inlineStr">
        <is>
          <t>2027-03-28</t>
        </is>
      </c>
      <c r="I125" s="0" t="inlineStr">
        <is>
          <t>TR4A</t>
        </is>
      </c>
      <c r="J125" s="0" t="inlineStr">
        <is>
          <t>性能测试</t>
        </is>
      </c>
      <c r="K125" s="0" t="inlineStr">
        <is>
          <t xml:space="preserve"> @贾峰</t>
        </is>
      </c>
      <c r="L125" s="0" t="inlineStr">
        <is>
          <t>2026-09-13</t>
        </is>
      </c>
      <c r="M125" s="0" t="inlineStr">
        <is>
          <t>2026-09-27</t>
        </is>
      </c>
      <c r="N125" s="0" t="n">
        <v>8</v>
      </c>
      <c r="O125" s="0">
        <f>任务计划表!K197</f>
        <v/>
      </c>
      <c r="P125" s="0">
        <f>IF(IF(任务计划表!L197="/",人员资源情况!$A$2,L197)&gt;M197,M197,(IF(任务计划表!L197="/",人员资源情况!$A$2,L197)))</f>
        <v/>
      </c>
      <c r="Q125" s="0">
        <f>IF(M197="/",人员资源情况!$B$2,任务计划表!M197)</f>
        <v/>
      </c>
      <c r="R125" s="0">
        <f>任务计划表!N197</f>
        <v/>
      </c>
      <c r="S125" s="0">
        <f>IF(O197=人员资源情况!C$2,1,0)</f>
        <v/>
      </c>
      <c r="T125" s="0">
        <f>IF(P197&gt;=人员资源情况!A$2,1,0)</f>
        <v/>
      </c>
      <c r="U125" s="0">
        <f>IF(Q197&lt;=人员资源情况!B$2,1,0)</f>
        <v/>
      </c>
      <c r="V125" s="0">
        <f>IF(T197*U197,Q197-P197,IF(T197&gt;U197,人员资源情况!B$2-P197,IF(T197&lt;U197,任务计划表!Q197-人员资源情况!A$2,0)))*R197*S197</f>
        <v/>
      </c>
      <c r="W125" s="0">
        <f>IF(V197&lt;0,0,V197)</f>
        <v/>
      </c>
    </row>
    <row r="126">
      <c r="E126" s="0" t="inlineStr">
        <is>
          <t>欧洲</t>
        </is>
      </c>
      <c r="F126" s="0" t="inlineStr">
        <is>
          <t>欧洲短款表</t>
        </is>
      </c>
      <c r="G126" s="0" t="inlineStr">
        <is>
          <t>2026-07-13</t>
        </is>
      </c>
      <c r="H126" s="0" t="inlineStr">
        <is>
          <t>2027-03-28</t>
        </is>
      </c>
      <c r="I126" s="0" t="inlineStr">
        <is>
          <t>TR4A</t>
        </is>
      </c>
      <c r="J126" s="0" t="inlineStr">
        <is>
          <t>委外测试</t>
        </is>
      </c>
      <c r="K126" s="0" t="inlineStr">
        <is>
          <t>@袁知正</t>
        </is>
      </c>
      <c r="L126" s="0" t="inlineStr">
        <is>
          <t>2026-09-14</t>
        </is>
      </c>
      <c r="M126" s="0" t="inlineStr">
        <is>
          <t>2026-09-14</t>
        </is>
      </c>
      <c r="N126" s="0" t="n">
        <v>4</v>
      </c>
      <c r="O126" s="0">
        <f>任务计划表!K198</f>
        <v/>
      </c>
      <c r="P126" s="0">
        <f>IF(IF(任务计划表!L198="/",人员资源情况!$A$2,L198)&gt;M198,M198,(IF(任务计划表!L198="/",人员资源情况!$A$2,L198)))</f>
        <v/>
      </c>
      <c r="Q126" s="0">
        <f>IF(M198="/",人员资源情况!$B$2,任务计划表!M198)</f>
        <v/>
      </c>
      <c r="R126" s="0">
        <f>任务计划表!N198</f>
        <v/>
      </c>
      <c r="S126" s="0">
        <f>IF(O198=人员资源情况!C$2,1,0)</f>
        <v/>
      </c>
      <c r="T126" s="0">
        <f>IF(P198&gt;=人员资源情况!A$2,1,0)</f>
        <v/>
      </c>
      <c r="U126" s="0">
        <f>IF(Q198&lt;=人员资源情况!B$2,1,0)</f>
        <v/>
      </c>
      <c r="V126" s="0">
        <f>IF(T198*U198,Q198-P198,IF(T198&gt;U198,人员资源情况!B$2-P198,IF(T198&lt;U198,任务计划表!Q198-人员资源情况!A$2,0)))*R198*S198</f>
        <v/>
      </c>
      <c r="W126" s="0">
        <f>IF(V198&lt;0,0,V198)</f>
        <v/>
      </c>
    </row>
    <row r="127">
      <c r="E127" s="0" t="inlineStr">
        <is>
          <t>欧洲</t>
        </is>
      </c>
      <c r="F127" s="0" t="inlineStr">
        <is>
          <t>欧洲短款表</t>
        </is>
      </c>
      <c r="G127" s="0" t="inlineStr">
        <is>
          <t>2026-07-13</t>
        </is>
      </c>
      <c r="H127" s="0" t="inlineStr">
        <is>
          <t>2027-03-28</t>
        </is>
      </c>
      <c r="I127" s="0" t="inlineStr">
        <is>
          <t>TR4A</t>
        </is>
      </c>
      <c r="J127" s="0" t="inlineStr">
        <is>
          <t>功能测试</t>
        </is>
      </c>
      <c r="K127" s="0" t="inlineStr">
        <is>
          <t>@袁知正</t>
        </is>
      </c>
      <c r="L127" s="0" t="inlineStr">
        <is>
          <t>2026-09-13</t>
        </is>
      </c>
      <c r="M127" s="0" t="inlineStr">
        <is>
          <t>2026-09-27</t>
        </is>
      </c>
      <c r="N127" s="0" t="n">
        <v>8</v>
      </c>
      <c r="O127" s="0">
        <f>任务计划表!K199</f>
        <v/>
      </c>
      <c r="P127" s="0">
        <f>IF(IF(任务计划表!L199="/",人员资源情况!$A$2,L199)&gt;M199,M199,(IF(任务计划表!L199="/",人员资源情况!$A$2,L199)))</f>
        <v/>
      </c>
      <c r="Q127" s="0">
        <f>IF(M199="/",人员资源情况!$B$2,任务计划表!M199)</f>
        <v/>
      </c>
      <c r="R127" s="0">
        <f>任务计划表!N199</f>
        <v/>
      </c>
      <c r="S127" s="0">
        <f>IF(O199=人员资源情况!C$2,1,0)</f>
        <v/>
      </c>
      <c r="T127" s="0">
        <f>IF(P199&gt;=人员资源情况!A$2,1,0)</f>
        <v/>
      </c>
      <c r="U127" s="0">
        <f>IF(Q199&lt;=人员资源情况!B$2,1,0)</f>
        <v/>
      </c>
      <c r="V127" s="0">
        <f>IF(T199*U199,Q199-P199,IF(T199&gt;U199,人员资源情况!B$2-P199,IF(T199&lt;U199,任务计划表!Q199-人员资源情况!A$2,0)))*R199*S199</f>
        <v/>
      </c>
      <c r="W127" s="0">
        <f>IF(V199&lt;0,0,V199)</f>
        <v/>
      </c>
    </row>
    <row r="128">
      <c r="E128" s="0" t="inlineStr">
        <is>
          <t>欧洲</t>
        </is>
      </c>
      <c r="F128" s="0" t="inlineStr">
        <is>
          <t>欧洲短款表</t>
        </is>
      </c>
      <c r="G128" s="0" t="inlineStr">
        <is>
          <t>2026-07-13</t>
        </is>
      </c>
      <c r="H128" s="0" t="inlineStr">
        <is>
          <t>2027-03-28</t>
        </is>
      </c>
      <c r="I128" s="0" t="inlineStr">
        <is>
          <t>TR4A</t>
        </is>
      </c>
      <c r="J128" s="0" t="inlineStr">
        <is>
          <t>硬件测试问题修改</t>
        </is>
      </c>
      <c r="K128" s="0" t="inlineStr">
        <is>
          <t>@童景顺(80004217)(童景顺)</t>
        </is>
      </c>
      <c r="L128" s="0" t="inlineStr">
        <is>
          <t>2026-09-28</t>
        </is>
      </c>
      <c r="M128" s="0" t="inlineStr">
        <is>
          <t>2026-09-28</t>
        </is>
      </c>
      <c r="N128" s="0" t="n">
        <v>4</v>
      </c>
      <c r="O128" s="0">
        <f>任务计划表!K200</f>
        <v/>
      </c>
      <c r="P128" s="0">
        <f>IF(IF(任务计划表!L200="/",人员资源情况!$A$2,L200)&gt;M200,M200,(IF(任务计划表!L200="/",人员资源情况!$A$2,L200)))</f>
        <v/>
      </c>
      <c r="Q128" s="0">
        <f>IF(M200="/",人员资源情况!$B$2,任务计划表!M200)</f>
        <v/>
      </c>
      <c r="R128" s="0">
        <f>任务计划表!N200</f>
        <v/>
      </c>
      <c r="S128" s="0">
        <f>IF(O200=人员资源情况!C$2,1,0)</f>
        <v/>
      </c>
      <c r="T128" s="0">
        <f>IF(P200&gt;=人员资源情况!A$2,1,0)</f>
        <v/>
      </c>
      <c r="U128" s="0">
        <f>IF(Q200&lt;=人员资源情况!B$2,1,0)</f>
        <v/>
      </c>
      <c r="V128" s="0">
        <f>IF(T200*U200,Q200-P200,IF(T200&gt;U200,人员资源情况!B$2-P200,IF(T200&lt;U200,任务计划表!Q200-人员资源情况!A$2,0)))*R200*S200</f>
        <v/>
      </c>
      <c r="W128" s="0">
        <f>IF(V200&lt;0,0,V200)</f>
        <v/>
      </c>
    </row>
    <row r="129">
      <c r="E129" s="0" t="inlineStr">
        <is>
          <t>欧洲</t>
        </is>
      </c>
      <c r="F129" s="0" t="inlineStr">
        <is>
          <t>欧洲短款表</t>
        </is>
      </c>
      <c r="G129" s="0" t="inlineStr">
        <is>
          <t>2026-07-13</t>
        </is>
      </c>
      <c r="H129" s="0" t="inlineStr">
        <is>
          <t>2027-03-28</t>
        </is>
      </c>
      <c r="I129" s="0" t="inlineStr">
        <is>
          <t>TR4A</t>
        </is>
      </c>
      <c r="J129" s="0" t="inlineStr">
        <is>
          <t>结构测试问题修改</t>
        </is>
      </c>
      <c r="K129" s="0" t="inlineStr">
        <is>
          <t>@罗穗安</t>
        </is>
      </c>
      <c r="L129" s="0" t="inlineStr">
        <is>
          <t>2026-09-28</t>
        </is>
      </c>
      <c r="M129" s="0" t="inlineStr">
        <is>
          <t>2026-09-28</t>
        </is>
      </c>
      <c r="N129" s="0" t="n">
        <v>4</v>
      </c>
      <c r="O129" s="0">
        <f>任务计划表!K201</f>
        <v/>
      </c>
      <c r="P129" s="0">
        <f>IF(IF(任务计划表!L201="/",人员资源情况!$A$2,L201)&gt;M201,M201,(IF(任务计划表!L201="/",人员资源情况!$A$2,L201)))</f>
        <v/>
      </c>
      <c r="Q129" s="0">
        <f>IF(M201="/",人员资源情况!$B$2,任务计划表!M201)</f>
        <v/>
      </c>
      <c r="R129" s="0">
        <f>任务计划表!N201</f>
        <v/>
      </c>
      <c r="S129" s="0">
        <f>IF(O201=人员资源情况!C$2,1,0)</f>
        <v/>
      </c>
      <c r="T129" s="0">
        <f>IF(P201&gt;=人员资源情况!A$2,1,0)</f>
        <v/>
      </c>
      <c r="U129" s="0">
        <f>IF(Q201&lt;=人员资源情况!B$2,1,0)</f>
        <v/>
      </c>
      <c r="V129" s="0">
        <f>IF(T201*U201,Q201-P201,IF(T201&gt;U201,人员资源情况!B$2-P201,IF(T201&lt;U201,任务计划表!Q201-人员资源情况!A$2,0)))*R201*S201</f>
        <v/>
      </c>
      <c r="W129" s="0">
        <f>IF(V201&lt;0,0,V201)</f>
        <v/>
      </c>
    </row>
    <row r="130">
      <c r="E130" s="0" t="inlineStr">
        <is>
          <t>欧洲</t>
        </is>
      </c>
      <c r="F130" s="0" t="inlineStr">
        <is>
          <t>欧洲短款表</t>
        </is>
      </c>
      <c r="G130" s="0" t="inlineStr">
        <is>
          <t>2026-07-13</t>
        </is>
      </c>
      <c r="H130" s="0" t="inlineStr">
        <is>
          <t>2027-03-28</t>
        </is>
      </c>
      <c r="I130" s="0" t="inlineStr">
        <is>
          <t>TR4A</t>
        </is>
      </c>
      <c r="J130" s="0" t="inlineStr">
        <is>
          <t>固件测试问题修改</t>
        </is>
      </c>
      <c r="K130" s="0" t="inlineStr">
        <is>
          <t>@袁琮欣(80015786)(袁琮欣)</t>
        </is>
      </c>
      <c r="L130" s="0" t="inlineStr">
        <is>
          <t>2026-09-28</t>
        </is>
      </c>
      <c r="M130" s="0" t="inlineStr">
        <is>
          <t>2026-09-28</t>
        </is>
      </c>
      <c r="N130" s="0" t="n">
        <v>4</v>
      </c>
      <c r="O130" s="0">
        <f>任务计划表!K202</f>
        <v/>
      </c>
      <c r="P130" s="0">
        <f>IF(IF(任务计划表!L202="/",人员资源情况!$A$2,L202)&gt;M202,M202,(IF(任务计划表!L202="/",人员资源情况!$A$2,L202)))</f>
        <v/>
      </c>
      <c r="Q130" s="0">
        <f>IF(M202="/",人员资源情况!$B$2,任务计划表!M202)</f>
        <v/>
      </c>
      <c r="R130" s="0">
        <f>任务计划表!N202</f>
        <v/>
      </c>
      <c r="S130" s="0">
        <f>IF(O202=人员资源情况!C$2,1,0)</f>
        <v/>
      </c>
      <c r="T130" s="0">
        <f>IF(P202&gt;=人员资源情况!A$2,1,0)</f>
        <v/>
      </c>
      <c r="U130" s="0">
        <f>IF(Q202&lt;=人员资源情况!B$2,1,0)</f>
        <v/>
      </c>
      <c r="V130" s="0">
        <f>IF(T202*U202,Q202-P202,IF(T202&gt;U202,人员资源情况!B$2-P202,IF(T202&lt;U202,任务计划表!Q202-人员资源情况!A$2,0)))*R202*S202</f>
        <v/>
      </c>
      <c r="W130" s="0">
        <f>IF(V202&lt;0,0,V202)</f>
        <v/>
      </c>
    </row>
    <row r="131">
      <c r="E131" s="0" t="inlineStr">
        <is>
          <t>欧洲</t>
        </is>
      </c>
      <c r="F131" s="0" t="inlineStr">
        <is>
          <t>欧洲短款表</t>
        </is>
      </c>
      <c r="G131" s="0" t="inlineStr">
        <is>
          <t>2026-07-13</t>
        </is>
      </c>
      <c r="H131" s="0" t="inlineStr">
        <is>
          <t>2027-03-28</t>
        </is>
      </c>
      <c r="I131" s="0" t="inlineStr">
        <is>
          <t>TR4A</t>
        </is>
      </c>
      <c r="J131" s="0" t="inlineStr">
        <is>
          <t>乌拉圭样机输出</t>
        </is>
      </c>
      <c r="K131" s="0" t="inlineStr">
        <is>
          <t>@童景顺(80004217)(童景顺)</t>
        </is>
      </c>
      <c r="L131" s="0" t="inlineStr">
        <is>
          <t>2026-09-30</t>
        </is>
      </c>
      <c r="M131" s="0" t="inlineStr">
        <is>
          <t>2026-09-30</t>
        </is>
      </c>
      <c r="N131" s="0" t="n">
        <v>1</v>
      </c>
      <c r="O131" s="0">
        <f>任务计划表!K203</f>
        <v/>
      </c>
      <c r="P131" s="0">
        <f>IF(IF(任务计划表!L203="/",人员资源情况!$A$2,L203)&gt;M203,M203,(IF(任务计划表!L203="/",人员资源情况!$A$2,L203)))</f>
        <v/>
      </c>
      <c r="Q131" s="0">
        <f>IF(M203="/",人员资源情况!$B$2,任务计划表!M203)</f>
        <v/>
      </c>
      <c r="R131" s="0">
        <f>任务计划表!N203</f>
        <v/>
      </c>
      <c r="S131" s="0">
        <f>IF(O203=人员资源情况!C$2,1,0)</f>
        <v/>
      </c>
      <c r="T131" s="0">
        <f>IF(P203&gt;=人员资源情况!A$2,1,0)</f>
        <v/>
      </c>
      <c r="U131" s="0">
        <f>IF(Q203&lt;=人员资源情况!B$2,1,0)</f>
        <v/>
      </c>
      <c r="V131" s="0">
        <f>IF(T203*U203,Q203-P203,IF(T203&gt;U203,人员资源情况!B$2-P203,IF(T203&lt;U203,任务计划表!Q203-人员资源情况!A$2,0)))*R203*S203</f>
        <v/>
      </c>
      <c r="W131" s="0">
        <f>IF(V203&lt;0,0,V203)</f>
        <v/>
      </c>
    </row>
    <row r="132">
      <c r="E132" s="0" t="inlineStr">
        <is>
          <t>欧洲</t>
        </is>
      </c>
      <c r="F132" s="0" t="inlineStr">
        <is>
          <t>欧洲短款表</t>
        </is>
      </c>
      <c r="G132" s="0" t="inlineStr">
        <is>
          <t>2026-07-13</t>
        </is>
      </c>
      <c r="H132" s="0" t="inlineStr">
        <is>
          <t>2027-03-28</t>
        </is>
      </c>
      <c r="I132" s="0" t="inlineStr">
        <is>
          <t>TR4A</t>
        </is>
      </c>
      <c r="J132" s="0" t="inlineStr">
        <is>
          <t>性能测试</t>
        </is>
      </c>
      <c r="K132" s="0" t="inlineStr">
        <is>
          <t>@贾峰</t>
        </is>
      </c>
      <c r="L132" s="0" t="inlineStr">
        <is>
          <t>2026-09-30</t>
        </is>
      </c>
      <c r="M132" s="0" t="inlineStr">
        <is>
          <t>2026-10-14</t>
        </is>
      </c>
      <c r="N132" s="0" t="n">
        <v>8</v>
      </c>
      <c r="O132" s="0">
        <f>任务计划表!K204</f>
        <v/>
      </c>
      <c r="P132" s="0">
        <f>IF(IF(任务计划表!L204="/",人员资源情况!$A$2,L204)&gt;M204,M204,(IF(任务计划表!L204="/",人员资源情况!$A$2,L204)))</f>
        <v/>
      </c>
      <c r="Q132" s="0">
        <f>IF(M204="/",人员资源情况!$B$2,任务计划表!M204)</f>
        <v/>
      </c>
      <c r="R132" s="0">
        <f>任务计划表!N204</f>
        <v/>
      </c>
      <c r="S132" s="0">
        <f>IF(O204=人员资源情况!C$2,1,0)</f>
        <v/>
      </c>
      <c r="T132" s="0">
        <f>IF(P204&gt;=人员资源情况!A$2,1,0)</f>
        <v/>
      </c>
      <c r="U132" s="0">
        <f>IF(Q204&lt;=人员资源情况!B$2,1,0)</f>
        <v/>
      </c>
      <c r="V132" s="0">
        <f>IF(T204*U204,Q204-P204,IF(T204&gt;U204,人员资源情况!B$2-P204,IF(T204&lt;U204,任务计划表!Q204-人员资源情况!A$2,0)))*R204*S204</f>
        <v/>
      </c>
      <c r="W132" s="0">
        <f>IF(V204&lt;0,0,V204)</f>
        <v/>
      </c>
    </row>
    <row r="133">
      <c r="E133" s="0" t="inlineStr">
        <is>
          <t>欧洲</t>
        </is>
      </c>
      <c r="F133" s="0" t="inlineStr">
        <is>
          <t>欧洲短款表</t>
        </is>
      </c>
      <c r="G133" s="0" t="inlineStr">
        <is>
          <t>2026-07-13</t>
        </is>
      </c>
      <c r="H133" s="0" t="inlineStr">
        <is>
          <t>2027-03-28</t>
        </is>
      </c>
      <c r="I133" s="0" t="inlineStr">
        <is>
          <t>TR4A</t>
        </is>
      </c>
      <c r="J133" s="0" t="inlineStr">
        <is>
          <t>委外测试</t>
        </is>
      </c>
      <c r="K133" s="0" t="inlineStr">
        <is>
          <t>@袁知正</t>
        </is>
      </c>
      <c r="L133" s="0" t="inlineStr">
        <is>
          <t>2026-10-01</t>
        </is>
      </c>
      <c r="M133" s="0" t="inlineStr">
        <is>
          <t>2026-10-01</t>
        </is>
      </c>
      <c r="N133" s="0" t="n">
        <v>4</v>
      </c>
      <c r="O133" s="0">
        <f>任务计划表!K205</f>
        <v/>
      </c>
      <c r="P133" s="0">
        <f>IF(IF(任务计划表!L205="/",人员资源情况!$A$2,L205)&gt;M205,M205,(IF(任务计划表!L205="/",人员资源情况!$A$2,L205)))</f>
        <v/>
      </c>
      <c r="Q133" s="0">
        <f>IF(M205="/",人员资源情况!$B$2,任务计划表!M205)</f>
        <v/>
      </c>
      <c r="R133" s="0">
        <f>任务计划表!N205</f>
        <v/>
      </c>
      <c r="S133" s="0">
        <f>IF(O205=人员资源情况!C$2,1,0)</f>
        <v/>
      </c>
      <c r="T133" s="0">
        <f>IF(P205&gt;=人员资源情况!A$2,1,0)</f>
        <v/>
      </c>
      <c r="U133" s="0">
        <f>IF(Q205&lt;=人员资源情况!B$2,1,0)</f>
        <v/>
      </c>
      <c r="V133" s="0">
        <f>IF(T205*U205,Q205-P205,IF(T205&gt;U205,人员资源情况!B$2-P205,IF(T205&lt;U205,任务计划表!Q205-人员资源情况!A$2,0)))*R205*S205</f>
        <v/>
      </c>
      <c r="W133" s="0">
        <f>IF(V205&lt;0,0,V205)</f>
        <v/>
      </c>
    </row>
    <row r="134">
      <c r="E134" s="0" t="inlineStr">
        <is>
          <t>欧洲</t>
        </is>
      </c>
      <c r="F134" s="0" t="inlineStr">
        <is>
          <t>欧洲短款表</t>
        </is>
      </c>
      <c r="G134" s="0" t="inlineStr">
        <is>
          <t>2026-07-13</t>
        </is>
      </c>
      <c r="H134" s="0" t="inlineStr">
        <is>
          <t>2027-03-28</t>
        </is>
      </c>
      <c r="I134" s="0" t="inlineStr">
        <is>
          <t>TR4A</t>
        </is>
      </c>
      <c r="J134" s="0" t="inlineStr">
        <is>
          <t>功能测试</t>
        </is>
      </c>
      <c r="K134" s="0" t="inlineStr">
        <is>
          <t>@袁知正</t>
        </is>
      </c>
      <c r="L134" s="0" t="inlineStr">
        <is>
          <t>2026-09-30</t>
        </is>
      </c>
      <c r="M134" s="0" t="inlineStr">
        <is>
          <t>2026-10-14</t>
        </is>
      </c>
      <c r="N134" s="0" t="n">
        <v>8</v>
      </c>
      <c r="O134" s="0">
        <f>任务计划表!K206</f>
        <v/>
      </c>
      <c r="P134" s="0">
        <f>IF(IF(任务计划表!L206="/",人员资源情况!$A$2,L206)&gt;M206,M206,(IF(任务计划表!L206="/",人员资源情况!$A$2,L206)))</f>
        <v/>
      </c>
      <c r="Q134" s="0">
        <f>IF(M206="/",人员资源情况!$B$2,任务计划表!M206)</f>
        <v/>
      </c>
      <c r="R134" s="0">
        <f>任务计划表!N206</f>
        <v/>
      </c>
      <c r="S134" s="0">
        <f>IF(O206=人员资源情况!C$2,1,0)</f>
        <v/>
      </c>
      <c r="T134" s="0">
        <f>IF(P206&gt;=人员资源情况!A$2,1,0)</f>
        <v/>
      </c>
      <c r="U134" s="0">
        <f>IF(Q206&lt;=人员资源情况!B$2,1,0)</f>
        <v/>
      </c>
      <c r="V134" s="0">
        <f>IF(T206*U206,Q206-P206,IF(T206&gt;U206,人员资源情况!B$2-P206,IF(T206&lt;U206,任务计划表!Q206-人员资源情况!A$2,0)))*R206*S206</f>
        <v/>
      </c>
      <c r="W134" s="0">
        <f>IF(V206&lt;0,0,V206)</f>
        <v/>
      </c>
    </row>
    <row r="135">
      <c r="E135" s="0" t="inlineStr">
        <is>
          <t>欧洲</t>
        </is>
      </c>
      <c r="F135" s="0" t="inlineStr">
        <is>
          <t>欧洲短款表</t>
        </is>
      </c>
      <c r="G135" s="0" t="inlineStr">
        <is>
          <t>2026-07-13</t>
        </is>
      </c>
      <c r="H135" s="0" t="inlineStr">
        <is>
          <t>2027-03-28</t>
        </is>
      </c>
      <c r="I135" s="0" t="inlineStr">
        <is>
          <t>TR4A</t>
        </is>
      </c>
      <c r="J135" s="0" t="inlineStr">
        <is>
          <t>硬件测试问题修改</t>
        </is>
      </c>
      <c r="K135" s="0" t="inlineStr">
        <is>
          <t>@童景顺(80004217)(童景顺)</t>
        </is>
      </c>
      <c r="L135" s="0" t="inlineStr">
        <is>
          <t>2026-10-15</t>
        </is>
      </c>
      <c r="M135" s="0" t="inlineStr">
        <is>
          <t>2026-10-15</t>
        </is>
      </c>
      <c r="N135" s="0" t="n">
        <v>4</v>
      </c>
      <c r="O135" s="0">
        <f>任务计划表!K207</f>
        <v/>
      </c>
      <c r="P135" s="0">
        <f>IF(IF(任务计划表!L207="/",人员资源情况!$A$2,L207)&gt;M207,M207,(IF(任务计划表!L207="/",人员资源情况!$A$2,L207)))</f>
        <v/>
      </c>
      <c r="Q135" s="0">
        <f>IF(M207="/",人员资源情况!$B$2,任务计划表!M207)</f>
        <v/>
      </c>
      <c r="R135" s="0">
        <f>任务计划表!N207</f>
        <v/>
      </c>
      <c r="S135" s="0">
        <f>IF(O207=人员资源情况!C$2,1,0)</f>
        <v/>
      </c>
      <c r="T135" s="0">
        <f>IF(P207&gt;=人员资源情况!A$2,1,0)</f>
        <v/>
      </c>
      <c r="U135" s="0">
        <f>IF(Q207&lt;=人员资源情况!B$2,1,0)</f>
        <v/>
      </c>
      <c r="V135" s="0">
        <f>IF(T207*U207,Q207-P207,IF(T207&gt;U207,人员资源情况!B$2-P207,IF(T207&lt;U207,任务计划表!Q207-人员资源情况!A$2,0)))*R207*S207</f>
        <v/>
      </c>
      <c r="W135" s="0">
        <f>IF(V207&lt;0,0,V207)</f>
        <v/>
      </c>
    </row>
    <row r="136">
      <c r="E136" s="0" t="inlineStr">
        <is>
          <t>欧洲</t>
        </is>
      </c>
      <c r="F136" s="0" t="inlineStr">
        <is>
          <t>欧洲短款表</t>
        </is>
      </c>
      <c r="G136" s="0" t="inlineStr">
        <is>
          <t>2026-07-13</t>
        </is>
      </c>
      <c r="H136" s="0" t="inlineStr">
        <is>
          <t>2027-03-28</t>
        </is>
      </c>
      <c r="I136" s="0" t="inlineStr">
        <is>
          <t>TR4A</t>
        </is>
      </c>
      <c r="J136" s="0" t="inlineStr">
        <is>
          <t>结构测试问题修改</t>
        </is>
      </c>
      <c r="K136" s="0" t="inlineStr">
        <is>
          <t>@罗穗安</t>
        </is>
      </c>
      <c r="L136" s="0" t="inlineStr">
        <is>
          <t>2026-10-15</t>
        </is>
      </c>
      <c r="M136" s="0" t="inlineStr">
        <is>
          <t>2026-10-15</t>
        </is>
      </c>
      <c r="N136" s="0" t="n">
        <v>4</v>
      </c>
      <c r="O136" s="0">
        <f>任务计划表!K208</f>
        <v/>
      </c>
      <c r="P136" s="0">
        <f>IF(IF(任务计划表!L208="/",人员资源情况!$A$2,L208)&gt;M208,M208,(IF(任务计划表!L208="/",人员资源情况!$A$2,L208)))</f>
        <v/>
      </c>
      <c r="Q136" s="0">
        <f>IF(M208="/",人员资源情况!$B$2,任务计划表!M208)</f>
        <v/>
      </c>
      <c r="R136" s="0">
        <f>任务计划表!N208</f>
        <v/>
      </c>
      <c r="S136" s="0">
        <f>IF(O208=人员资源情况!C$2,1,0)</f>
        <v/>
      </c>
      <c r="T136" s="0">
        <f>IF(P208&gt;=人员资源情况!A$2,1,0)</f>
        <v/>
      </c>
      <c r="U136" s="0">
        <f>IF(Q208&lt;=人员资源情况!B$2,1,0)</f>
        <v/>
      </c>
      <c r="V136" s="0">
        <f>IF(T208*U208,Q208-P208,IF(T208&gt;U208,人员资源情况!B$2-P208,IF(T208&lt;U208,任务计划表!Q208-人员资源情况!A$2,0)))*R208*S208</f>
        <v/>
      </c>
      <c r="W136" s="0">
        <f>IF(V208&lt;0,0,V208)</f>
        <v/>
      </c>
    </row>
    <row r="137">
      <c r="E137" s="0" t="inlineStr">
        <is>
          <t>欧洲</t>
        </is>
      </c>
      <c r="F137" s="0" t="inlineStr">
        <is>
          <t>欧洲短款表</t>
        </is>
      </c>
      <c r="G137" s="0" t="inlineStr">
        <is>
          <t>2026-07-13</t>
        </is>
      </c>
      <c r="H137" s="0" t="inlineStr">
        <is>
          <t>2027-03-28</t>
        </is>
      </c>
      <c r="I137" s="0" t="inlineStr">
        <is>
          <t>TR4A</t>
        </is>
      </c>
      <c r="J137" s="0" t="inlineStr">
        <is>
          <t>固件测试问题修改</t>
        </is>
      </c>
      <c r="K137" s="0" t="inlineStr">
        <is>
          <t>@袁琮欣(80015786)(袁琮欣)</t>
        </is>
      </c>
      <c r="L137" s="0" t="inlineStr">
        <is>
          <t>2026-10-15</t>
        </is>
      </c>
      <c r="M137" s="0" t="inlineStr">
        <is>
          <t>2026-10-15</t>
        </is>
      </c>
      <c r="N137" s="0" t="n">
        <v>4</v>
      </c>
      <c r="O137" s="0">
        <f>任务计划表!K209</f>
        <v/>
      </c>
      <c r="P137" s="0">
        <f>IF(IF(任务计划表!L209="/",人员资源情况!$A$2,L209)&gt;M209,M209,(IF(任务计划表!L209="/",人员资源情况!$A$2,L209)))</f>
        <v/>
      </c>
      <c r="Q137" s="0">
        <f>IF(M209="/",人员资源情况!$B$2,任务计划表!M209)</f>
        <v/>
      </c>
      <c r="R137" s="0">
        <f>任务计划表!N209</f>
        <v/>
      </c>
      <c r="S137" s="0">
        <f>IF(O209=人员资源情况!C$2,1,0)</f>
        <v/>
      </c>
      <c r="T137" s="0">
        <f>IF(P209&gt;=人员资源情况!A$2,1,0)</f>
        <v/>
      </c>
      <c r="U137" s="0">
        <f>IF(Q209&lt;=人员资源情况!B$2,1,0)</f>
        <v/>
      </c>
      <c r="V137" s="0">
        <f>IF(T209*U209,Q209-P209,IF(T209&gt;U209,人员资源情况!B$2-P209,IF(T209&lt;U209,任务计划表!Q209-人员资源情况!A$2,0)))*R209*S209</f>
        <v/>
      </c>
      <c r="W137" s="0">
        <f>IF(V209&lt;0,0,V209)</f>
        <v/>
      </c>
    </row>
    <row r="138">
      <c r="E138" s="0" t="inlineStr">
        <is>
          <t>欧洲</t>
        </is>
      </c>
      <c r="F138" s="0" t="inlineStr">
        <is>
          <t>欧洲短款表</t>
        </is>
      </c>
      <c r="G138" s="0" t="inlineStr">
        <is>
          <t>2026-07-13</t>
        </is>
      </c>
      <c r="H138" s="0" t="inlineStr">
        <is>
          <t>2027-03-28</t>
        </is>
      </c>
      <c r="I138" s="0" t="inlineStr">
        <is>
          <t>TR5</t>
        </is>
      </c>
      <c r="J138" s="0" t="inlineStr">
        <is>
          <t>DVT下单</t>
        </is>
      </c>
      <c r="K138" s="0" t="inlineStr">
        <is>
          <t>@韩燕飞</t>
        </is>
      </c>
      <c r="L138" s="0" t="inlineStr">
        <is>
          <t>2026-10-17</t>
        </is>
      </c>
      <c r="M138" s="0" t="inlineStr">
        <is>
          <t>2026-10-17</t>
        </is>
      </c>
      <c r="N138" s="0" t="n">
        <v>1</v>
      </c>
      <c r="O138" s="0">
        <f>任务计划表!K210</f>
        <v/>
      </c>
      <c r="P138" s="0">
        <f>IF(IF(任务计划表!L210="/",人员资源情况!$A$2,L210)&gt;M210,M210,(IF(任务计划表!L210="/",人员资源情况!$A$2,L210)))</f>
        <v/>
      </c>
      <c r="Q138" s="0">
        <f>IF(M210="/",人员资源情况!$B$2,任务计划表!M210)</f>
        <v/>
      </c>
      <c r="R138" s="0">
        <f>任务计划表!N210</f>
        <v/>
      </c>
      <c r="S138" s="0">
        <f>IF(O210=人员资源情况!C$2,1,0)</f>
        <v/>
      </c>
      <c r="T138" s="0">
        <f>IF(P210&gt;=人员资源情况!A$2,1,0)</f>
        <v/>
      </c>
      <c r="U138" s="0">
        <f>IF(Q210&lt;=人员资源情况!B$2,1,0)</f>
        <v/>
      </c>
      <c r="V138" s="0">
        <f>IF(T210*U210,Q210-P210,IF(T210&gt;U210,人员资源情况!B$2-P210,IF(T210&lt;U210,任务计划表!Q210-人员资源情况!A$2,0)))*R210*S210</f>
        <v/>
      </c>
      <c r="W138" s="0">
        <f>IF(V210&lt;0,0,V210)</f>
        <v/>
      </c>
    </row>
    <row r="139">
      <c r="E139" s="0" t="inlineStr">
        <is>
          <t>欧洲</t>
        </is>
      </c>
      <c r="F139" s="0" t="inlineStr">
        <is>
          <t>欧洲短款表</t>
        </is>
      </c>
      <c r="G139" s="0" t="inlineStr">
        <is>
          <t>2026-07-13</t>
        </is>
      </c>
      <c r="H139" s="0" t="inlineStr">
        <is>
          <t>2027-03-28</t>
        </is>
      </c>
      <c r="I139" s="0" t="inlineStr">
        <is>
          <t>TR5</t>
        </is>
      </c>
      <c r="J139" s="0" t="inlineStr">
        <is>
          <t>DVT-BOM归档</t>
        </is>
      </c>
      <c r="K139" s="0" t="inlineStr">
        <is>
          <t>@童景顺(80004217)(童景顺)</t>
        </is>
      </c>
      <c r="L139" s="0" t="inlineStr">
        <is>
          <t>2026-10-18</t>
        </is>
      </c>
      <c r="M139" s="0" t="inlineStr">
        <is>
          <t>2026-10-18</t>
        </is>
      </c>
      <c r="N139" s="0" t="n">
        <v>1</v>
      </c>
      <c r="O139" s="0">
        <f>任务计划表!K211</f>
        <v/>
      </c>
      <c r="P139" s="0">
        <f>IF(IF(任务计划表!L211="/",人员资源情况!$A$2,L211)&gt;M211,M211,(IF(任务计划表!L211="/",人员资源情况!$A$2,L211)))</f>
        <v/>
      </c>
      <c r="Q139" s="0">
        <f>IF(M211="/",人员资源情况!$B$2,任务计划表!M211)</f>
        <v/>
      </c>
      <c r="R139" s="0">
        <f>任务计划表!N211</f>
        <v/>
      </c>
      <c r="S139" s="0">
        <f>IF(O211=人员资源情况!C$2,1,0)</f>
        <v/>
      </c>
      <c r="T139" s="0">
        <f>IF(P211&gt;=人员资源情况!A$2,1,0)</f>
        <v/>
      </c>
      <c r="U139" s="0">
        <f>IF(Q211&lt;=人员资源情况!B$2,1,0)</f>
        <v/>
      </c>
      <c r="V139" s="0">
        <f>IF(T211*U211,Q211-P211,IF(T211&gt;U211,人员资源情况!B$2-P211,IF(T211&lt;U211,任务计划表!Q211-人员资源情况!A$2,0)))*R211*S211</f>
        <v/>
      </c>
      <c r="W139" s="0">
        <f>IF(V211&lt;0,0,V211)</f>
        <v/>
      </c>
    </row>
    <row r="140">
      <c r="E140" s="0" t="inlineStr">
        <is>
          <t>欧洲</t>
        </is>
      </c>
      <c r="F140" s="0" t="inlineStr">
        <is>
          <t>欧洲短款表</t>
        </is>
      </c>
      <c r="G140" s="0" t="inlineStr">
        <is>
          <t>2026-07-13</t>
        </is>
      </c>
      <c r="H140" s="0" t="inlineStr">
        <is>
          <t>2027-03-28</t>
        </is>
      </c>
      <c r="I140" s="0" t="inlineStr">
        <is>
          <t>TR5</t>
        </is>
      </c>
      <c r="J140" s="0" t="inlineStr">
        <is>
          <t>DVT-样机制作</t>
        </is>
      </c>
      <c r="K140" s="0" t="inlineStr">
        <is>
          <t>@文春英</t>
        </is>
      </c>
      <c r="L140" s="0" t="inlineStr">
        <is>
          <t>2026-11-13</t>
        </is>
      </c>
      <c r="M140" s="0" t="inlineStr">
        <is>
          <t>2026-11-17</t>
        </is>
      </c>
      <c r="N140" s="0" t="n">
        <v>8</v>
      </c>
      <c r="O140" s="0">
        <f>任务计划表!K212</f>
        <v/>
      </c>
      <c r="P140" s="0">
        <f>IF(IF(任务计划表!L212="/",人员资源情况!$A$2,L212)&gt;M212,M212,(IF(任务计划表!L212="/",人员资源情况!$A$2,L212)))</f>
        <v/>
      </c>
      <c r="Q140" s="0">
        <f>IF(M212="/",人员资源情况!$B$2,任务计划表!M212)</f>
        <v/>
      </c>
      <c r="R140" s="0">
        <f>任务计划表!N212</f>
        <v/>
      </c>
      <c r="S140" s="0">
        <f>IF(O212=人员资源情况!C$2,1,0)</f>
        <v/>
      </c>
      <c r="T140" s="0">
        <f>IF(P212&gt;=人员资源情况!A$2,1,0)</f>
        <v/>
      </c>
      <c r="U140" s="0">
        <f>IF(Q212&lt;=人员资源情况!B$2,1,0)</f>
        <v/>
      </c>
      <c r="V140" s="0">
        <f>IF(T212*U212,Q212-P212,IF(T212&gt;U212,人员资源情况!B$2-P212,IF(T212&lt;U212,任务计划表!Q212-人员资源情况!A$2,0)))*R212*S212</f>
        <v/>
      </c>
      <c r="W140" s="0">
        <f>IF(V212&lt;0,0,V212)</f>
        <v/>
      </c>
    </row>
    <row r="141">
      <c r="E141" s="0" t="inlineStr">
        <is>
          <t>欧洲</t>
        </is>
      </c>
      <c r="F141" s="0" t="inlineStr">
        <is>
          <t>欧洲短款表</t>
        </is>
      </c>
      <c r="G141" s="0" t="inlineStr">
        <is>
          <t>2026-07-13</t>
        </is>
      </c>
      <c r="H141" s="0" t="inlineStr">
        <is>
          <t>2027-03-28</t>
        </is>
      </c>
      <c r="I141" s="0" t="inlineStr">
        <is>
          <t>TR5</t>
        </is>
      </c>
      <c r="J141" s="0" t="inlineStr">
        <is>
          <t>DVT样机可生产性（定型机）评审</t>
        </is>
      </c>
      <c r="K141" s="0" t="inlineStr">
        <is>
          <t>@肖庆阳</t>
        </is>
      </c>
      <c r="L141" s="0" t="inlineStr">
        <is>
          <t>2026-11-18</t>
        </is>
      </c>
      <c r="M141" s="0" t="inlineStr">
        <is>
          <t>2026-11-18</t>
        </is>
      </c>
      <c r="N141" s="0" t="n">
        <v>8</v>
      </c>
      <c r="O141" s="0">
        <f>任务计划表!K213</f>
        <v/>
      </c>
      <c r="P141" s="0">
        <f>IF(IF(任务计划表!L213="/",人员资源情况!$A$2,L213)&gt;M213,M213,(IF(任务计划表!L213="/",人员资源情况!$A$2,L213)))</f>
        <v/>
      </c>
      <c r="Q141" s="0">
        <f>IF(M213="/",人员资源情况!$B$2,任务计划表!M213)</f>
        <v/>
      </c>
      <c r="R141" s="0">
        <f>任务计划表!N213</f>
        <v/>
      </c>
      <c r="S141" s="0">
        <f>IF(O213=人员资源情况!C$2,1,0)</f>
        <v/>
      </c>
      <c r="T141" s="0">
        <f>IF(P213&gt;=人员资源情况!A$2,1,0)</f>
        <v/>
      </c>
      <c r="U141" s="0">
        <f>IF(Q213&lt;=人员资源情况!B$2,1,0)</f>
        <v/>
      </c>
      <c r="V141" s="0">
        <f>IF(T213*U213,Q213-P213,IF(T213&gt;U213,人员资源情况!B$2-P213,IF(T213&lt;U213,任务计划表!Q213-人员资源情况!A$2,0)))*R213*S213</f>
        <v/>
      </c>
      <c r="W141" s="0">
        <f>IF(V213&lt;0,0,V213)</f>
        <v/>
      </c>
    </row>
    <row r="142">
      <c r="E142" s="0" t="inlineStr">
        <is>
          <t>欧洲</t>
        </is>
      </c>
      <c r="F142" s="0" t="inlineStr">
        <is>
          <t>欧洲短款表</t>
        </is>
      </c>
      <c r="G142" s="0" t="inlineStr">
        <is>
          <t>2026-07-13</t>
        </is>
      </c>
      <c r="H142" s="0" t="inlineStr">
        <is>
          <t>2027-03-28</t>
        </is>
      </c>
      <c r="I142" s="0" t="inlineStr">
        <is>
          <t>TR5</t>
        </is>
      </c>
      <c r="J142" s="0" t="inlineStr">
        <is>
          <t>工艺评审整改回复</t>
        </is>
      </c>
      <c r="K142" s="0" t="inlineStr">
        <is>
          <t>@肖庆阳</t>
        </is>
      </c>
      <c r="L142" s="0" t="inlineStr">
        <is>
          <t>2026-11-19</t>
        </is>
      </c>
      <c r="M142" s="0" t="inlineStr">
        <is>
          <t>2026-11-19</t>
        </is>
      </c>
      <c r="N142" s="0" t="n">
        <v>8</v>
      </c>
      <c r="O142" s="0">
        <f>任务计划表!K214</f>
        <v/>
      </c>
      <c r="P142" s="0">
        <f>IF(IF(任务计划表!L214="/",人员资源情况!$A$2,L214)&gt;M214,M214,(IF(任务计划表!L214="/",人员资源情况!$A$2,L214)))</f>
        <v/>
      </c>
      <c r="Q142" s="0">
        <f>IF(M214="/",人员资源情况!$B$2,任务计划表!M214)</f>
        <v/>
      </c>
      <c r="R142" s="0">
        <f>任务计划表!N214</f>
        <v/>
      </c>
      <c r="S142" s="0">
        <f>IF(O214=人员资源情况!C$2,1,0)</f>
        <v/>
      </c>
      <c r="T142" s="0">
        <f>IF(P214&gt;=人员资源情况!A$2,1,0)</f>
        <v/>
      </c>
      <c r="U142" s="0">
        <f>IF(Q214&lt;=人员资源情况!B$2,1,0)</f>
        <v/>
      </c>
      <c r="V142" s="0">
        <f>IF(T214*U214,Q214-P214,IF(T214&gt;U214,人员资源情况!B$2-P214,IF(T214&lt;U214,任务计划表!Q214-人员资源情况!A$2,0)))*R214*S214</f>
        <v/>
      </c>
      <c r="W142" s="0">
        <f>IF(V214&lt;0,0,V214)</f>
        <v/>
      </c>
    </row>
    <row r="143">
      <c r="E143" s="0" t="inlineStr">
        <is>
          <t>欧洲</t>
        </is>
      </c>
      <c r="F143" s="0" t="inlineStr">
        <is>
          <t>欧洲短款表</t>
        </is>
      </c>
      <c r="G143" s="0" t="inlineStr">
        <is>
          <t>2026-07-13</t>
        </is>
      </c>
      <c r="H143" s="0" t="inlineStr">
        <is>
          <t>2027-03-28</t>
        </is>
      </c>
      <c r="I143" s="0" t="inlineStr">
        <is>
          <t>TR6</t>
        </is>
      </c>
      <c r="J143" s="0" t="inlineStr">
        <is>
          <t>集成测试</t>
        </is>
      </c>
      <c r="K143" s="0" t="inlineStr">
        <is>
          <t xml:space="preserve"> @杨慧霞</t>
        </is>
      </c>
      <c r="L143" s="0" t="inlineStr">
        <is>
          <t>2026-11-20</t>
        </is>
      </c>
      <c r="M143" s="0" t="inlineStr">
        <is>
          <t>2026-12-05</t>
        </is>
      </c>
      <c r="N143" s="0" t="n">
        <v>0</v>
      </c>
      <c r="O143" s="0">
        <f>任务计划表!K215</f>
        <v/>
      </c>
      <c r="P143" s="0">
        <f>IF(IF(任务计划表!L215="/",人员资源情况!$A$2,L215)&gt;M215,M215,(IF(任务计划表!L215="/",人员资源情况!$A$2,L215)))</f>
        <v/>
      </c>
      <c r="Q143" s="0">
        <f>IF(M215="/",人员资源情况!$B$2,任务计划表!M215)</f>
        <v/>
      </c>
      <c r="R143" s="0">
        <f>任务计划表!N215</f>
        <v/>
      </c>
      <c r="S143" s="0">
        <f>IF(O215=人员资源情况!C$2,1,0)</f>
        <v/>
      </c>
      <c r="T143" s="0">
        <f>IF(P215&gt;=人员资源情况!A$2,1,0)</f>
        <v/>
      </c>
      <c r="U143" s="0">
        <f>IF(Q215&lt;=人员资源情况!B$2,1,0)</f>
        <v/>
      </c>
      <c r="V143" s="0">
        <f>IF(T215*U215,Q215-P215,IF(T215&gt;U215,人员资源情况!B$2-P215,IF(T215&lt;U215,任务计划表!Q215-人员资源情况!A$2,0)))*R215*S215</f>
        <v/>
      </c>
      <c r="W143" s="0">
        <f>IF(V215&lt;0,0,V215)</f>
        <v/>
      </c>
    </row>
    <row r="144">
      <c r="A144" s="0" t="inlineStr">
        <is>
          <t>已归档</t>
        </is>
      </c>
      <c r="E144" s="0" t="inlineStr">
        <is>
          <t>产品降本</t>
        </is>
      </c>
      <c r="F144" s="0" t="inlineStr">
        <is>
          <t>研究院LoRaWAN</t>
        </is>
      </c>
      <c r="G144" s="0" t="inlineStr">
        <is>
          <t>1900-01-01</t>
        </is>
      </c>
      <c r="H144" s="0" t="inlineStr">
        <is>
          <t>2100-01-01</t>
        </is>
      </c>
      <c r="I144" s="0" t="inlineStr">
        <is>
          <t>测试lorawan项目主板基础功能</t>
        </is>
      </c>
      <c r="J144" s="0" t="inlineStr">
        <is>
          <t>固件工程师</t>
        </is>
      </c>
      <c r="K144" s="0" t="inlineStr">
        <is>
          <t>@答金雨(80016793)</t>
        </is>
      </c>
      <c r="L144" s="0" t="inlineStr">
        <is>
          <t>2026-07-27</t>
        </is>
      </c>
      <c r="M144" s="0" t="inlineStr">
        <is>
          <t>2026-07-30</t>
        </is>
      </c>
      <c r="N144" s="0" t="n">
        <v>8</v>
      </c>
      <c r="O144" s="0">
        <f>任务计划表!K216</f>
        <v/>
      </c>
      <c r="P144" s="0">
        <f>IF(IF(任务计划表!L216="/",人员资源情况!$A$2,L216)&gt;M216,M216,(IF(任务计划表!L216="/",人员资源情况!$A$2,L216)))</f>
        <v/>
      </c>
      <c r="Q144" s="0">
        <f>IF(M216="/",人员资源情况!$B$2,任务计划表!M216)</f>
        <v/>
      </c>
      <c r="R144" s="0">
        <f>任务计划表!N216</f>
        <v/>
      </c>
      <c r="S144" s="0">
        <f>IF(O216=人员资源情况!C$2,1,0)</f>
        <v/>
      </c>
      <c r="T144" s="0">
        <f>IF(P216&gt;=人员资源情况!A$2,1,0)</f>
        <v/>
      </c>
      <c r="U144" s="0">
        <f>IF(Q216&lt;=人员资源情况!B$2,1,0)</f>
        <v/>
      </c>
      <c r="V144" s="0">
        <f>IF(T216*U216,Q216-P216,IF(T216&gt;U216,人员资源情况!B$2-P216,IF(T216&lt;U216,任务计划表!Q216-人员资源情况!A$2,0)))*R216*S216</f>
        <v/>
      </c>
      <c r="W144" s="0">
        <f>IF(V216&lt;0,0,V216)</f>
        <v/>
      </c>
      <c r="X144" s="0" t="inlineStr"/>
      <c r="Y144" s="0" t="inlineStr"/>
      <c r="Z144" s="0" t="inlineStr"/>
      <c r="AA144" s="0" t="inlineStr"/>
    </row>
    <row r="145">
      <c r="A145" s="0" t="inlineStr">
        <is>
          <t>已归档</t>
        </is>
      </c>
      <c r="E145" s="0" t="inlineStr">
        <is>
          <t>测试</t>
        </is>
      </c>
      <c r="F145" s="0" t="inlineStr">
        <is>
          <t>TEST demand</t>
        </is>
      </c>
      <c r="G145" s="0" t="inlineStr">
        <is>
          <t>1900-01-01</t>
        </is>
      </c>
      <c r="H145" s="0" t="inlineStr">
        <is>
          <t>2100-01-01</t>
        </is>
      </c>
      <c r="I145" s="0" t="inlineStr">
        <is>
          <t>新增</t>
        </is>
      </c>
      <c r="J145" s="0" t="inlineStr">
        <is>
          <t>项目经理</t>
        </is>
      </c>
      <c r="K145" s="0" t="inlineStr">
        <is>
          <t>@项家祺(80004213)(项家祺)</t>
        </is>
      </c>
      <c r="L145" s="0" t="inlineStr">
        <is>
          <t>2026-07-25</t>
        </is>
      </c>
      <c r="M145" s="0" t="inlineStr">
        <is>
          <t>2026-07-25</t>
        </is>
      </c>
      <c r="N145" s="0" t="n">
        <v>8</v>
      </c>
      <c r="O145" s="0">
        <f>任务计划表!K217</f>
        <v/>
      </c>
      <c r="P145" s="0">
        <f>IF(IF(任务计划表!L217="/",人员资源情况!$A$2,L217)&gt;M217,M217,(IF(任务计划表!L217="/",人员资源情况!$A$2,L217)))</f>
        <v/>
      </c>
      <c r="Q145" s="0">
        <f>IF(M217="/",人员资源情况!$B$2,任务计划表!M217)</f>
        <v/>
      </c>
      <c r="R145" s="0">
        <f>任务计划表!N217</f>
        <v/>
      </c>
      <c r="S145" s="0">
        <f>IF(O217=人员资源情况!C$2,1,0)</f>
        <v/>
      </c>
      <c r="T145" s="0">
        <f>IF(P217&gt;=人员资源情况!A$2,1,0)</f>
        <v/>
      </c>
      <c r="U145" s="0">
        <f>IF(Q217&lt;=人员资源情况!B$2,1,0)</f>
        <v/>
      </c>
      <c r="V145" s="0">
        <f>IF(T217*U217,Q217-P217,IF(T217&gt;U217,人员资源情况!B$2-P217,IF(T217&lt;U217,任务计划表!Q217-人员资源情况!A$2,0)))*R217*S217</f>
        <v/>
      </c>
      <c r="W145" s="0">
        <f>IF(V217&lt;0,0,V217)</f>
        <v/>
      </c>
      <c r="X145" s="0" t="inlineStr"/>
      <c r="Y145" s="0" t="inlineStr"/>
      <c r="Z145" s="0" t="inlineStr"/>
      <c r="AA145" s="0" t="inlineStr"/>
    </row>
    <row r="146">
      <c r="A146" s="0" t="inlineStr">
        <is>
          <t>已归档</t>
        </is>
      </c>
      <c r="E146" s="0" t="inlineStr">
        <is>
          <t>测试</t>
        </is>
      </c>
      <c r="F146" s="0" t="inlineStr">
        <is>
          <t>TEST demand</t>
        </is>
      </c>
      <c r="G146" s="0" t="inlineStr">
        <is>
          <t>1900-01-01</t>
        </is>
      </c>
      <c r="H146" s="0" t="inlineStr">
        <is>
          <t>2100-01-01</t>
        </is>
      </c>
      <c r="I146" s="0" t="inlineStr">
        <is>
          <t>2</t>
        </is>
      </c>
      <c r="J146" s="0" t="inlineStr">
        <is>
          <t>项目CHAT</t>
        </is>
      </c>
      <c r="K146" s="0" t="inlineStr">
        <is>
          <t>@项家祺(80004213)(项家祺)</t>
        </is>
      </c>
      <c r="L146" s="0" t="inlineStr">
        <is>
          <t>2026-07-25</t>
        </is>
      </c>
      <c r="M146" s="0" t="inlineStr">
        <is>
          <t>2026-07-25</t>
        </is>
      </c>
      <c r="N146" s="0" t="n">
        <v>8</v>
      </c>
      <c r="O146" s="0">
        <f>任务计划表!K218</f>
        <v/>
      </c>
      <c r="P146" s="0">
        <f>IF(IF(任务计划表!L218="/",人员资源情况!$A$2,L218)&gt;M218,M218,(IF(任务计划表!L218="/",人员资源情况!$A$2,L218)))</f>
        <v/>
      </c>
      <c r="Q146" s="0">
        <f>IF(M218="/",人员资源情况!$B$2,任务计划表!M218)</f>
        <v/>
      </c>
      <c r="R146" s="0">
        <f>任务计划表!N218</f>
        <v/>
      </c>
      <c r="S146" s="0">
        <f>IF(O218=人员资源情况!C$2,1,0)</f>
        <v/>
      </c>
      <c r="T146" s="0">
        <f>IF(P218&gt;=人员资源情况!A$2,1,0)</f>
        <v/>
      </c>
      <c r="U146" s="0">
        <f>IF(Q218&lt;=人员资源情况!B$2,1,0)</f>
        <v/>
      </c>
      <c r="V146" s="0">
        <f>IF(T218*U218,Q218-P218,IF(T218&gt;U218,人员资源情况!B$2-P218,IF(T218&lt;U218,任务计划表!Q218-人员资源情况!A$2,0)))*R218*S218</f>
        <v/>
      </c>
      <c r="W146" s="0">
        <f>IF(V218&lt;0,0,V218)</f>
        <v/>
      </c>
      <c r="X146" s="0" t="inlineStr"/>
      <c r="Y146" s="0" t="inlineStr"/>
      <c r="Z146" s="0" t="inlineStr"/>
      <c r="AA146" s="0" t="inlineStr"/>
    </row>
    <row r="147">
      <c r="A147" s="0" t="inlineStr">
        <is>
          <t>已归档</t>
        </is>
      </c>
      <c r="E147" s="0" t="inlineStr">
        <is>
          <t>测试</t>
        </is>
      </c>
      <c r="F147" s="0" t="inlineStr">
        <is>
          <t>测试看板</t>
        </is>
      </c>
      <c r="G147" s="0" t="inlineStr">
        <is>
          <t>1900-01-01</t>
        </is>
      </c>
      <c r="H147" s="0" t="inlineStr">
        <is>
          <t>2100-01-01</t>
        </is>
      </c>
      <c r="I147" s="0" t="inlineStr">
        <is>
          <t>测试</t>
        </is>
      </c>
      <c r="J147" s="0" t="inlineStr">
        <is>
          <t>项目经理</t>
        </is>
      </c>
      <c r="K147" s="0" t="inlineStr">
        <is>
          <t>@项家祺(80004213)(项家祺)</t>
        </is>
      </c>
      <c r="L147" s="0" t="inlineStr">
        <is>
          <t>2026-07-27</t>
        </is>
      </c>
      <c r="M147" s="0" t="inlineStr">
        <is>
          <t>2026-07-27</t>
        </is>
      </c>
      <c r="N147" s="0" t="n">
        <v>8</v>
      </c>
      <c r="O147" s="0">
        <f>任务计划表!K219</f>
        <v/>
      </c>
      <c r="P147" s="0">
        <f>IF(IF(任务计划表!L219="/",人员资源情况!$A$2,L219)&gt;M219,M219,(IF(任务计划表!L219="/",人员资源情况!$A$2,L219)))</f>
        <v/>
      </c>
      <c r="Q147" s="0">
        <f>IF(M219="/",人员资源情况!$B$2,任务计划表!M219)</f>
        <v/>
      </c>
      <c r="R147" s="0">
        <f>任务计划表!N219</f>
        <v/>
      </c>
      <c r="S147" s="0">
        <f>IF(O219=人员资源情况!C$2,1,0)</f>
        <v/>
      </c>
      <c r="T147" s="0">
        <f>IF(P219&gt;=人员资源情况!A$2,1,0)</f>
        <v/>
      </c>
      <c r="U147" s="0">
        <f>IF(Q219&lt;=人员资源情况!B$2,1,0)</f>
        <v/>
      </c>
      <c r="V147" s="0">
        <f>IF(T219*U219,Q219-P219,IF(T219&gt;U219,人员资源情况!B$2-P219,IF(T219&lt;U219,任务计划表!Q219-人员资源情况!A$2,0)))*R219*S219</f>
        <v/>
      </c>
      <c r="W147" s="0">
        <f>IF(V219&lt;0,0,V219)</f>
        <v/>
      </c>
    </row>
    <row r="148">
      <c r="B148" s="0" t="inlineStr">
        <is>
          <t>已删除</t>
        </is>
      </c>
      <c r="E148" s="0" t="inlineStr">
        <is>
          <t>测试</t>
        </is>
      </c>
      <c r="F148" s="0" t="inlineStr">
        <is>
          <t>测试看板</t>
        </is>
      </c>
      <c r="G148" s="0" t="inlineStr">
        <is>
          <t>1900-01-01</t>
        </is>
      </c>
      <c r="H148" s="0" t="inlineStr">
        <is>
          <t>2100-01-01</t>
        </is>
      </c>
      <c r="I148" s="0" t="inlineStr">
        <is>
          <t>测试</t>
        </is>
      </c>
      <c r="J148" s="0" t="inlineStr">
        <is>
          <t>测试工程师</t>
        </is>
      </c>
      <c r="K148" s="0" t="inlineStr">
        <is>
          <t>@项家祺(80004213)(项家祺)</t>
        </is>
      </c>
      <c r="L148" s="0" t="inlineStr">
        <is>
          <t>2026-07-27</t>
        </is>
      </c>
      <c r="M148" s="0" t="inlineStr">
        <is>
          <t>2026-07-27</t>
        </is>
      </c>
      <c r="N148" s="0" t="n">
        <v>8</v>
      </c>
      <c r="O148" s="0">
        <f>任务计划表!K220</f>
        <v/>
      </c>
      <c r="P148" s="0">
        <f>IF(IF(任务计划表!L220="/",人员资源情况!$A$2,L220)&gt;M220,M220,(IF(任务计划表!L220="/",人员资源情况!$A$2,L220)))</f>
        <v/>
      </c>
      <c r="Q148" s="0">
        <f>IF(M220="/",人员资源情况!$B$2,任务计划表!M220)</f>
        <v/>
      </c>
      <c r="R148" s="0">
        <f>任务计划表!N220</f>
        <v/>
      </c>
      <c r="S148" s="0">
        <f>IF(O220=人员资源情况!C$2,1,0)</f>
        <v/>
      </c>
      <c r="T148" s="0">
        <f>IF(P220&gt;=人员资源情况!A$2,1,0)</f>
        <v/>
      </c>
      <c r="U148" s="0">
        <f>IF(Q220&lt;=人员资源情况!B$2,1,0)</f>
        <v/>
      </c>
      <c r="V148" s="0">
        <f>IF(T220*U220,Q220-P220,IF(T220&gt;U220,人员资源情况!B$2-P220,IF(T220&lt;U220,任务计划表!Q220-人员资源情况!A$2,0)))*R220*S220</f>
        <v/>
      </c>
      <c r="W148" s="0">
        <f>IF(V220&lt;0,0,V220)</f>
        <v/>
      </c>
    </row>
    <row r="149">
      <c r="E149" s="0" t="inlineStr">
        <is>
          <t>日常工作</t>
        </is>
      </c>
      <c r="F149" s="0" t="inlineStr">
        <is>
          <t>EEPROM驱动协助</t>
        </is>
      </c>
      <c r="G149" s="0" t="inlineStr">
        <is>
          <t>1900-01-01</t>
        </is>
      </c>
      <c r="H149" s="0" t="inlineStr">
        <is>
          <t>2100-01-01</t>
        </is>
      </c>
      <c r="I149" s="0" t="inlineStr">
        <is>
          <t>新增</t>
        </is>
      </c>
      <c r="J149" s="0" t="inlineStr">
        <is>
          <t>固件工程师</t>
        </is>
      </c>
      <c r="K149" s="0" t="inlineStr">
        <is>
          <t>@答金雨(80016793)</t>
        </is>
      </c>
      <c r="L149" s="0" t="inlineStr">
        <is>
          <t>2026-07-28</t>
        </is>
      </c>
      <c r="M149" s="0" t="inlineStr">
        <is>
          <t>2026-07-31</t>
        </is>
      </c>
      <c r="N149" s="0" t="n">
        <v>1</v>
      </c>
      <c r="O149" s="0">
        <f>任务计划表!K221</f>
        <v/>
      </c>
      <c r="P149" s="0">
        <f>IF(IF(任务计划表!L221="/",人员资源情况!$A$2,L221)&gt;M221,M221,(IF(任务计划表!L221="/",人员资源情况!$A$2,L221)))</f>
        <v/>
      </c>
      <c r="Q149" s="0">
        <f>IF(M221="/",人员资源情况!$B$2,任务计划表!M221)</f>
        <v/>
      </c>
      <c r="R149" s="0">
        <f>任务计划表!N221</f>
        <v/>
      </c>
      <c r="S149" s="0">
        <f>IF(O221=人员资源情况!C$2,1,0)</f>
        <v/>
      </c>
      <c r="T149" s="0">
        <f>IF(P221&gt;=人员资源情况!A$2,1,0)</f>
        <v/>
      </c>
      <c r="U149" s="0">
        <f>IF(Q221&lt;=人员资源情况!B$2,1,0)</f>
        <v/>
      </c>
      <c r="V149" s="0">
        <f>IF(T221*U221,Q221-P221,IF(T221&gt;U221,人员资源情况!B$2-P221,IF(T221&lt;U221,任务计划表!Q221-人员资源情况!A$2,0)))*R221*S221</f>
        <v/>
      </c>
      <c r="W149" s="0">
        <f>IF(V221&lt;0,0,V221)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1900-01-01</t>
        </is>
      </c>
      <c r="H150" s="0" t="inlineStr">
        <is>
          <t>2100-01-01</t>
        </is>
      </c>
      <c r="I150" s="0" t="inlineStr">
        <is>
          <t>TR4A</t>
        </is>
      </c>
      <c r="J150" s="0" t="inlineStr">
        <is>
          <t>测试工程师</t>
        </is>
      </c>
      <c r="K150" s="0" t="inlineStr">
        <is>
          <t>@袁知正</t>
        </is>
      </c>
      <c r="L150" s="0" t="inlineStr">
        <is>
          <t>2026-08-17</t>
        </is>
      </c>
      <c r="M150" s="0" t="inlineStr">
        <is>
          <t>2026-08-20</t>
        </is>
      </c>
      <c r="N150" s="0" t="n">
        <v>8</v>
      </c>
      <c r="O150" s="0">
        <f>任务计划表!K222</f>
        <v/>
      </c>
      <c r="P150" s="0">
        <f>IF(IF(任务计划表!L222="/",人员资源情况!$A$2,L222)&gt;M222,M222,(IF(任务计划表!L222="/",人员资源情况!$A$2,L222)))</f>
        <v/>
      </c>
      <c r="Q150" s="0">
        <f>IF(M222="/",人员资源情况!$B$2,任务计划表!M222)</f>
        <v/>
      </c>
      <c r="R150" s="0">
        <f>任务计划表!N222</f>
        <v/>
      </c>
      <c r="S150" s="0">
        <f>IF(O222=人员资源情况!C$2,1,0)</f>
        <v/>
      </c>
      <c r="T150" s="0">
        <f>IF(P222&gt;=人员资源情况!A$2,1,0)</f>
        <v/>
      </c>
      <c r="U150" s="0">
        <f>IF(Q222&lt;=人员资源情况!B$2,1,0)</f>
        <v/>
      </c>
      <c r="V150" s="0">
        <f>IF(T222*U222,Q222-P222,IF(T222&gt;U222,人员资源情况!B$2-P222,IF(T222&lt;U222,任务计划表!Q222-人员资源情况!A$2,0)))*R222*S222</f>
        <v/>
      </c>
      <c r="W150" s="0">
        <f>IF(V222&lt;0,0,V222)</f>
        <v/>
      </c>
    </row>
    <row r="151">
      <c r="E151" s="0" t="inlineStr">
        <is>
          <t>日常工作</t>
        </is>
      </c>
      <c r="F151" s="0" t="inlineStr">
        <is>
          <t>蓝牙工装</t>
        </is>
      </c>
      <c r="G151" s="0" t="inlineStr">
        <is>
          <t>2026-07-27</t>
        </is>
      </c>
      <c r="H151" s="0" t="inlineStr">
        <is>
          <t>2026-07-31</t>
        </is>
      </c>
      <c r="I151" s="0" t="inlineStr">
        <is>
          <t>1.蓝牙转红外 2.typec转红外 3.有两个按键蓝牙选用公司华普微的2051901870 4.带flash（标准32M） 5.带充电电池（可跳线不使用充电电池）</t>
        </is>
      </c>
      <c r="J151" s="0" t="inlineStr">
        <is>
          <t>硬件工程师</t>
        </is>
      </c>
      <c r="K151" s="0" t="inlineStr">
        <is>
          <t>@舒杰(80018942)</t>
        </is>
      </c>
      <c r="L151" s="0" t="inlineStr">
        <is>
          <t>2026-07-27</t>
        </is>
      </c>
      <c r="M151" s="0" t="inlineStr">
        <is>
          <t>2026-07-31</t>
        </is>
      </c>
      <c r="N151" s="0" t="n">
        <v>4</v>
      </c>
      <c r="O151" s="0">
        <f>任务计划表!K223</f>
        <v/>
      </c>
      <c r="P151" s="0">
        <f>IF(IF(任务计划表!L223="/",人员资源情况!$A$2,L223)&gt;M223,M223,(IF(任务计划表!L223="/",人员资源情况!$A$2,L223)))</f>
        <v/>
      </c>
      <c r="Q151" s="0">
        <f>IF(M223="/",人员资源情况!$B$2,任务计划表!M223)</f>
        <v/>
      </c>
      <c r="R151" s="0">
        <f>任务计划表!N223</f>
        <v/>
      </c>
      <c r="S151" s="0">
        <f>IF(O223=人员资源情况!C$2,1,0)</f>
        <v/>
      </c>
      <c r="T151" s="0">
        <f>IF(P223&gt;=人员资源情况!A$2,1,0)</f>
        <v/>
      </c>
      <c r="U151" s="0">
        <f>IF(Q223&lt;=人员资源情况!B$2,1,0)</f>
        <v/>
      </c>
      <c r="V151" s="0">
        <f>IF(T223*U223,Q223-P223,IF(T223&gt;U223,人员资源情况!B$2-P223,IF(T223&lt;U223,任务计划表!Q223-人员资源情况!A$2,0)))*R223*S223</f>
        <v/>
      </c>
      <c r="W151" s="0">
        <f>IF(V223&lt;0,0,V223)</f>
        <v/>
      </c>
      <c r="X151" s="0" t="inlineStr">
        <is>
          <t>PENDING_EDIT</t>
        </is>
      </c>
      <c r="Y151" s="0" t="inlineStr">
        <is>
          <t>shj|2026-08-03T01:59:48.888801</t>
        </is>
      </c>
      <c r="Z151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AA151" s="0" t="inlineStr">
        <is>
          <t>edit</t>
        </is>
      </c>
    </row>
    <row r="152">
      <c r="E152" s="0" t="inlineStr">
        <is>
          <t>日常工作</t>
        </is>
      </c>
      <c r="F152" s="0" t="inlineStr">
        <is>
          <t>物料替换</t>
        </is>
      </c>
      <c r="G152" s="0" t="inlineStr">
        <is>
          <t>2026-07-27</t>
        </is>
      </c>
      <c r="H152" s="0" t="inlineStr">
        <is>
          <t>2026-07-31</t>
        </is>
      </c>
      <c r="I152" s="0" t="inlineStr">
        <is>
          <t>光耦替代料测试</t>
        </is>
      </c>
      <c r="J152" s="0" t="inlineStr">
        <is>
          <t>硬件工程师</t>
        </is>
      </c>
      <c r="K152" s="0" t="inlineStr">
        <is>
          <t>@舒杰(80018942)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2</v>
      </c>
      <c r="O152" s="0">
        <f>任务计划表!K224</f>
        <v/>
      </c>
      <c r="P152" s="0">
        <f>IF(IF(任务计划表!L224="/",人员资源情况!$A$2,L224)&gt;M224,M224,(IF(任务计划表!L224="/",人员资源情况!$A$2,L224)))</f>
        <v/>
      </c>
      <c r="Q152" s="0">
        <f>IF(M224="/",人员资源情况!$B$2,任务计划表!M224)</f>
        <v/>
      </c>
      <c r="R152" s="0">
        <f>任务计划表!N224</f>
        <v/>
      </c>
      <c r="S152" s="0">
        <f>IF(O224=人员资源情况!C$2,1,0)</f>
        <v/>
      </c>
      <c r="T152" s="0">
        <f>IF(P224&gt;=人员资源情况!A$2,1,0)</f>
        <v/>
      </c>
      <c r="U152" s="0">
        <f>IF(Q224&lt;=人员资源情况!B$2,1,0)</f>
        <v/>
      </c>
      <c r="V152" s="0">
        <f>IF(T224*U224,Q224-P224,IF(T224&gt;U224,人员资源情况!B$2-P224,IF(T224&lt;U224,任务计划表!Q224-人员资源情况!A$2,0)))*R224*S224</f>
        <v/>
      </c>
      <c r="W152" s="0">
        <f>IF(V224&lt;0,0,V224)</f>
        <v/>
      </c>
      <c r="X152" s="0" t="inlineStr">
        <is>
          <t>PENDING_EDIT</t>
        </is>
      </c>
      <c r="Y152" s="0" t="inlineStr">
        <is>
          <t>shj|2026-08-03T02:00:54.788734</t>
        </is>
      </c>
      <c r="Z152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AA152" s="0" t="inlineStr">
        <is>
          <t>edit</t>
        </is>
      </c>
    </row>
    <row r="153">
      <c r="E153" s="0" t="inlineStr">
        <is>
          <t>欧洲</t>
        </is>
      </c>
      <c r="F153" s="0" t="inlineStr">
        <is>
          <t>乌拉圭样机</t>
        </is>
      </c>
      <c r="G153" s="0" t="inlineStr">
        <is>
          <t>1900-01-01</t>
        </is>
      </c>
      <c r="H153" s="0" t="inlineStr">
        <is>
          <t>2100-01-01</t>
        </is>
      </c>
      <c r="I153" s="0" t="inlineStr">
        <is>
          <t>TR3乌拉圭样机SE文档</t>
        </is>
      </c>
      <c r="J153" s="0" t="inlineStr">
        <is>
          <t>SE设计</t>
        </is>
      </c>
      <c r="K153" s="0" t="inlineStr">
        <is>
          <t>@答金雨(80016793)</t>
        </is>
      </c>
      <c r="L153" s="0" t="inlineStr">
        <is>
          <t>2026-08-03</t>
        </is>
      </c>
      <c r="M153" s="0" t="inlineStr">
        <is>
          <t>2026-08-07</t>
        </is>
      </c>
      <c r="N153" s="0" t="n">
        <v>6</v>
      </c>
      <c r="O153" s="0">
        <f>任务计划表!K225</f>
        <v/>
      </c>
      <c r="P153" s="0">
        <f>IF(IF(任务计划表!L225="/",人员资源情况!$A$2,L225)&gt;M225,M225,(IF(任务计划表!L225="/",人员资源情况!$A$2,L225)))</f>
        <v/>
      </c>
      <c r="Q153" s="0">
        <f>IF(M225="/",人员资源情况!$B$2,任务计划表!M225)</f>
        <v/>
      </c>
      <c r="R153" s="0">
        <f>任务计划表!N225</f>
        <v/>
      </c>
      <c r="S153" s="0">
        <f>IF(O225=人员资源情况!C$2,1,0)</f>
        <v/>
      </c>
      <c r="T153" s="0">
        <f>IF(P225&gt;=人员资源情况!A$2,1,0)</f>
        <v/>
      </c>
      <c r="U153" s="0">
        <f>IF(Q225&lt;=人员资源情况!B$2,1,0)</f>
        <v/>
      </c>
      <c r="V153" s="0">
        <f>IF(T225*U225,Q225-P225,IF(T225&gt;U225,人员资源情况!B$2-P225,IF(T225&lt;U225,任务计划表!Q225-人员资源情况!A$2,0)))*R225*S225</f>
        <v/>
      </c>
      <c r="W153" s="0">
        <f>IF(V225&lt;0,0,V225)</f>
        <v/>
      </c>
    </row>
    <row r="154">
      <c r="E154" s="0" t="inlineStr">
        <is>
          <t>欧洲</t>
        </is>
      </c>
      <c r="F154" s="0" t="inlineStr">
        <is>
          <t>乌拉圭样机</t>
        </is>
      </c>
      <c r="G154" s="0" t="inlineStr">
        <is>
          <t>1900-01-01</t>
        </is>
      </c>
      <c r="H154" s="0" t="inlineStr">
        <is>
          <t>2100-01-01</t>
        </is>
      </c>
      <c r="I154" s="0" t="inlineStr">
        <is>
          <t>TR3乌拉圭样机SE文档</t>
        </is>
      </c>
      <c r="J154" s="0" t="inlineStr">
        <is>
          <t>固件开发</t>
        </is>
      </c>
      <c r="K154" s="0" t="inlineStr">
        <is>
          <t>@答金雨(80016793)</t>
        </is>
      </c>
      <c r="L154" s="0" t="inlineStr">
        <is>
          <t>2026-08-10</t>
        </is>
      </c>
      <c r="M154" s="0" t="inlineStr">
        <is>
          <t>2026-08-14</t>
        </is>
      </c>
      <c r="N154" s="0" t="n">
        <v>4</v>
      </c>
      <c r="O154" s="0">
        <f>任务计划表!K226</f>
        <v/>
      </c>
      <c r="P154" s="0">
        <f>IF(IF(任务计划表!L226="/",人员资源情况!$A$2,L226)&gt;M226,M226,(IF(任务计划表!L226="/",人员资源情况!$A$2,L226)))</f>
        <v/>
      </c>
      <c r="Q154" s="0">
        <f>IF(M226="/",人员资源情况!$B$2,任务计划表!M226)</f>
        <v/>
      </c>
      <c r="R154" s="0">
        <f>任务计划表!N226</f>
        <v/>
      </c>
      <c r="S154" s="0">
        <f>IF(O226=人员资源情况!C$2,1,0)</f>
        <v/>
      </c>
      <c r="T154" s="0">
        <f>IF(P226&gt;=人员资源情况!A$2,1,0)</f>
        <v/>
      </c>
      <c r="U154" s="0">
        <f>IF(Q226&lt;=人员资源情况!B$2,1,0)</f>
        <v/>
      </c>
      <c r="V154" s="0">
        <f>IF(T226*U226,Q226-P226,IF(T226&gt;U226,人员资源情况!B$2-P226,IF(T226&lt;U226,任务计划表!Q226-人员资源情况!A$2,0)))*R226*S226</f>
        <v/>
      </c>
      <c r="W154" s="0">
        <f>IF(V226&lt;0,0,V226)</f>
        <v/>
      </c>
    </row>
    <row r="155">
      <c r="E155" s="0" t="inlineStr">
        <is>
          <t>巴西经营中心</t>
        </is>
      </c>
      <c r="F155" s="0" t="inlineStr">
        <is>
          <t>DLMS系统联调</t>
        </is>
      </c>
      <c r="G155" s="0" t="inlineStr">
        <is>
          <t>1900-01-01</t>
        </is>
      </c>
      <c r="H155" s="0" t="inlineStr">
        <is>
          <t>2026-08-14</t>
        </is>
      </c>
      <c r="I155" s="0" t="inlineStr">
        <is>
          <t>TR4</t>
        </is>
      </c>
      <c r="J155" s="0" t="inlineStr">
        <is>
          <t>push interval 1-2 初步分析</t>
        </is>
      </c>
      <c r="K155" s="0" t="inlineStr">
        <is>
          <t>@张国庆(80019159)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4</v>
      </c>
      <c r="O155" s="0">
        <f>任务计划表!K227</f>
        <v/>
      </c>
      <c r="P155" s="0">
        <f>IF(IF(任务计划表!L227="/",人员资源情况!$A$2,L227)&gt;M227,M227,(IF(任务计划表!L227="/",人员资源情况!$A$2,L227)))</f>
        <v/>
      </c>
      <c r="Q155" s="0">
        <f>IF(M227="/",人员资源情况!$B$2,任务计划表!M227)</f>
        <v/>
      </c>
      <c r="R155" s="0">
        <f>任务计划表!N227</f>
        <v/>
      </c>
      <c r="S155" s="0">
        <f>IF(O227=人员资源情况!C$2,1,0)</f>
        <v/>
      </c>
      <c r="T155" s="0">
        <f>IF(P227&gt;=人员资源情况!A$2,1,0)</f>
        <v/>
      </c>
      <c r="U155" s="0">
        <f>IF(Q227&lt;=人员资源情况!B$2,1,0)</f>
        <v/>
      </c>
      <c r="V155" s="0">
        <f>IF(T227*U227,Q227-P227,IF(T227&gt;U227,人员资源情况!B$2-P227,IF(T227&lt;U227,任务计划表!Q227-人员资源情况!A$2,0)))*R227*S227</f>
        <v/>
      </c>
      <c r="W155" s="0">
        <f>IF(V227&lt;0,0,V227)</f>
        <v/>
      </c>
    </row>
    <row r="156">
      <c r="E156" s="0" t="inlineStr">
        <is>
          <t>巴西经营中心</t>
        </is>
      </c>
      <c r="F156" s="0" t="inlineStr">
        <is>
          <t>DLMS系统联调</t>
        </is>
      </c>
      <c r="G156" s="0" t="inlineStr">
        <is>
          <t>1900-01-01</t>
        </is>
      </c>
      <c r="H156" s="0" t="inlineStr">
        <is>
          <t>2026-08-14</t>
        </is>
      </c>
      <c r="I156" s="0" t="inlineStr">
        <is>
          <t>TR4</t>
        </is>
      </c>
      <c r="J156" s="0" t="inlineStr">
        <is>
          <t>push interval 1-2 代码修复</t>
        </is>
      </c>
      <c r="K156" s="0" t="inlineStr">
        <is>
          <t>@袁琮欣(80015786)(袁琮欣)</t>
        </is>
      </c>
      <c r="L156" s="0" t="inlineStr">
        <is>
          <t>2026-08-03</t>
        </is>
      </c>
      <c r="M156" s="0" t="inlineStr">
        <is>
          <t>2026-08-04</t>
        </is>
      </c>
      <c r="N156" s="0" t="n">
        <v>2</v>
      </c>
      <c r="O156" s="0">
        <f>任务计划表!K228</f>
        <v/>
      </c>
      <c r="P156" s="0">
        <f>IF(IF(任务计划表!L228="/",人员资源情况!$A$2,L228)&gt;M228,M228,(IF(任务计划表!L228="/",人员资源情况!$A$2,L228)))</f>
        <v/>
      </c>
      <c r="Q156" s="0">
        <f>IF(M228="/",人员资源情况!$B$2,任务计划表!M228)</f>
        <v/>
      </c>
      <c r="R156" s="0">
        <f>任务计划表!N228</f>
        <v/>
      </c>
      <c r="S156" s="0">
        <f>IF(O228=人员资源情况!C$2,1,0)</f>
        <v/>
      </c>
      <c r="T156" s="0">
        <f>IF(P228&gt;=人员资源情况!A$2,1,0)</f>
        <v/>
      </c>
      <c r="U156" s="0">
        <f>IF(Q228&lt;=人员资源情况!B$2,1,0)</f>
        <v/>
      </c>
      <c r="V156" s="0">
        <f>IF(T228*U228,Q228-P228,IF(T228&gt;U228,人员资源情况!B$2-P228,IF(T228&lt;U228,任务计划表!Q228-人员资源情况!A$2,0)))*R228*S228</f>
        <v/>
      </c>
      <c r="W156" s="0">
        <f>IF(V228&lt;0,0,V228)</f>
        <v/>
      </c>
    </row>
    <row r="157">
      <c r="E157" s="0" t="inlineStr">
        <is>
          <t>巴西经营中心</t>
        </is>
      </c>
      <c r="F157" s="0" t="inlineStr">
        <is>
          <t>DLMS系统联调</t>
        </is>
      </c>
      <c r="G157" s="0" t="inlineStr">
        <is>
          <t>1900-01-01</t>
        </is>
      </c>
      <c r="H157" s="0" t="inlineStr">
        <is>
          <t>2026-08-14</t>
        </is>
      </c>
      <c r="I157" s="0" t="inlineStr">
        <is>
          <t>TR4</t>
        </is>
      </c>
      <c r="J157" s="0" t="inlineStr">
        <is>
          <t>Pull-系统与水表传输解密过</t>
        </is>
      </c>
      <c r="K157" s="0" t="inlineStr">
        <is>
          <t>@袁琮欣(80015786)(袁琮欣)</t>
        </is>
      </c>
      <c r="L157" s="0" t="inlineStr">
        <is>
          <t>2026-08-04</t>
        </is>
      </c>
      <c r="M157" s="0" t="inlineStr">
        <is>
          <t>2026-08-07</t>
        </is>
      </c>
      <c r="N157" s="0" t="n">
        <v>3</v>
      </c>
      <c r="O157" s="0">
        <f>任务计划表!K229</f>
        <v/>
      </c>
      <c r="P157" s="0">
        <f>IF(IF(任务计划表!L229="/",人员资源情况!$A$2,L229)&gt;M229,M229,(IF(任务计划表!L229="/",人员资源情况!$A$2,L229)))</f>
        <v/>
      </c>
      <c r="Q157" s="0">
        <f>IF(M229="/",人员资源情况!$B$2,任务计划表!M229)</f>
        <v/>
      </c>
      <c r="R157" s="0">
        <f>任务计划表!N229</f>
        <v/>
      </c>
      <c r="S157" s="0">
        <f>IF(O229=人员资源情况!C$2,1,0)</f>
        <v/>
      </c>
      <c r="T157" s="0">
        <f>IF(P229&gt;=人员资源情况!A$2,1,0)</f>
        <v/>
      </c>
      <c r="U157" s="0">
        <f>IF(Q229&lt;=人员资源情况!B$2,1,0)</f>
        <v/>
      </c>
      <c r="V157" s="0">
        <f>IF(T229*U229,Q229-P229,IF(T229&gt;U229,人员资源情况!B$2-P229,IF(T229&lt;U229,任务计划表!Q229-人员资源情况!A$2,0)))*R229*S229</f>
        <v/>
      </c>
      <c r="W157" s="0">
        <f>IF(V229&lt;0,0,V229)</f>
        <v/>
      </c>
    </row>
    <row r="158">
      <c r="E158" s="0" t="inlineStr">
        <is>
          <t>巴西经营中心</t>
        </is>
      </c>
      <c r="F158" s="0" t="inlineStr">
        <is>
          <t>DLMS系统联调</t>
        </is>
      </c>
      <c r="G158" s="0" t="inlineStr">
        <is>
          <t>1900-01-01</t>
        </is>
      </c>
      <c r="H158" s="0" t="inlineStr">
        <is>
          <t>2026-08-14</t>
        </is>
      </c>
      <c r="I158" s="0" t="inlineStr">
        <is>
          <t>TR4</t>
        </is>
      </c>
      <c r="J158" s="0" t="inlineStr">
        <is>
          <t>Pull-系统与水表传输解密过</t>
        </is>
      </c>
      <c r="K158" s="0" t="inlineStr">
        <is>
          <t>@张国庆(80019159)</t>
        </is>
      </c>
      <c r="L158" s="0" t="inlineStr">
        <is>
          <t>2026-08-04</t>
        </is>
      </c>
      <c r="M158" s="0" t="inlineStr">
        <is>
          <t>2026-08-07</t>
        </is>
      </c>
      <c r="N158" s="0" t="n">
        <v>3</v>
      </c>
      <c r="O158" s="0">
        <f>任务计划表!K230</f>
        <v/>
      </c>
      <c r="P158" s="0">
        <f>IF(IF(任务计划表!L230="/",人员资源情况!$A$2,L230)&gt;M230,M230,(IF(任务计划表!L230="/",人员资源情况!$A$2,L230)))</f>
        <v/>
      </c>
      <c r="Q158" s="0">
        <f>IF(M230="/",人员资源情况!$B$2,任务计划表!M230)</f>
        <v/>
      </c>
      <c r="R158" s="0">
        <f>任务计划表!N230</f>
        <v/>
      </c>
      <c r="S158" s="0">
        <f>IF(O230=人员资源情况!C$2,1,0)</f>
        <v/>
      </c>
      <c r="T158" s="0">
        <f>IF(P230&gt;=人员资源情况!A$2,1,0)</f>
        <v/>
      </c>
      <c r="U158" s="0">
        <f>IF(Q230&lt;=人员资源情况!B$2,1,0)</f>
        <v/>
      </c>
      <c r="V158" s="0">
        <f>IF(T230*U230,Q230-P230,IF(T230&gt;U230,人员资源情况!B$2-P230,IF(T230&lt;U230,任务计划表!Q230-人员资源情况!A$2,0)))*R230*S230</f>
        <v/>
      </c>
      <c r="W158" s="0">
        <f>IF(V230&lt;0,0,V230)</f>
        <v/>
      </c>
    </row>
    <row r="159">
      <c r="E159" s="0" t="inlineStr">
        <is>
          <t>巴西经营中心</t>
        </is>
      </c>
      <c r="F159" s="0" t="inlineStr">
        <is>
          <t>DLMS系统联调</t>
        </is>
      </c>
      <c r="G159" s="0" t="inlineStr">
        <is>
          <t>1900-01-01</t>
        </is>
      </c>
      <c r="H159" s="0" t="inlineStr">
        <is>
          <t>2026-08-14</t>
        </is>
      </c>
      <c r="I159" s="0" t="inlineStr">
        <is>
          <t>TR4</t>
        </is>
      </c>
      <c r="J159" s="0" t="inlineStr">
        <is>
          <t>pull-class 64/15-初步分析</t>
        </is>
      </c>
      <c r="K159" s="0" t="inlineStr">
        <is>
          <t>@张国庆(80019159)</t>
        </is>
      </c>
      <c r="L159" s="0" t="inlineStr">
        <is>
          <t>2026-08-07</t>
        </is>
      </c>
      <c r="M159" s="0" t="inlineStr">
        <is>
          <t>2026-08-10</t>
        </is>
      </c>
      <c r="N159" s="0" t="n">
        <v>4</v>
      </c>
      <c r="O159" s="0">
        <f>任务计划表!K231</f>
        <v/>
      </c>
      <c r="P159" s="0">
        <f>IF(IF(任务计划表!L231="/",人员资源情况!$A$2,L231)&gt;M231,M231,(IF(任务计划表!L231="/",人员资源情况!$A$2,L231)))</f>
        <v/>
      </c>
      <c r="Q159" s="0">
        <f>IF(M231="/",人员资源情况!$B$2,任务计划表!M231)</f>
        <v/>
      </c>
      <c r="R159" s="0">
        <f>任务计划表!N231</f>
        <v/>
      </c>
      <c r="S159" s="0">
        <f>IF(O231=人员资源情况!C$2,1,0)</f>
        <v/>
      </c>
      <c r="T159" s="0">
        <f>IF(P231&gt;=人员资源情况!A$2,1,0)</f>
        <v/>
      </c>
      <c r="U159" s="0">
        <f>IF(Q231&lt;=人员资源情况!B$2,1,0)</f>
        <v/>
      </c>
      <c r="V159" s="0">
        <f>IF(T231*U231,Q231-P231,IF(T231&gt;U231,人员资源情况!B$2-P231,IF(T231&lt;U231,任务计划表!Q231-人员资源情况!A$2,0)))*R231*S231</f>
        <v/>
      </c>
      <c r="W159" s="0">
        <f>IF(V231&lt;0,0,V231)</f>
        <v/>
      </c>
    </row>
    <row r="160">
      <c r="E160" s="0" t="inlineStr">
        <is>
          <t>巴西经营中心</t>
        </is>
      </c>
      <c r="F160" s="0" t="inlineStr">
        <is>
          <t>DLMS系统联调</t>
        </is>
      </c>
      <c r="G160" s="0" t="inlineStr">
        <is>
          <t>1900-01-01</t>
        </is>
      </c>
      <c r="H160" s="0" t="inlineStr">
        <is>
          <t>2026-08-14</t>
        </is>
      </c>
      <c r="I160" s="0" t="inlineStr">
        <is>
          <t>TR4</t>
        </is>
      </c>
      <c r="J160" s="0" t="inlineStr">
        <is>
          <t>pull-class 64/15-代码修复</t>
        </is>
      </c>
      <c r="K160" s="0" t="inlineStr">
        <is>
          <t>@袁琮欣(80015786)(袁琮欣)</t>
        </is>
      </c>
      <c r="L160" s="0" t="inlineStr">
        <is>
          <t>2026-08-07</t>
        </is>
      </c>
      <c r="M160" s="0" t="inlineStr">
        <is>
          <t>2026-08-10</t>
        </is>
      </c>
      <c r="N160" s="0" t="n">
        <v>4</v>
      </c>
      <c r="O160" s="0">
        <f>任务计划表!K232</f>
        <v/>
      </c>
      <c r="P160" s="0">
        <f>IF(IF(任务计划表!L232="/",人员资源情况!$A$2,L232)&gt;M232,M232,(IF(任务计划表!L232="/",人员资源情况!$A$2,L232)))</f>
        <v/>
      </c>
      <c r="Q160" s="0">
        <f>IF(M232="/",人员资源情况!$B$2,任务计划表!M232)</f>
        <v/>
      </c>
      <c r="R160" s="0">
        <f>任务计划表!N232</f>
        <v/>
      </c>
      <c r="S160" s="0">
        <f>IF(O232=人员资源情况!C$2,1,0)</f>
        <v/>
      </c>
      <c r="T160" s="0">
        <f>IF(P232&gt;=人员资源情况!A$2,1,0)</f>
        <v/>
      </c>
      <c r="U160" s="0">
        <f>IF(Q232&lt;=人员资源情况!B$2,1,0)</f>
        <v/>
      </c>
      <c r="V160" s="0">
        <f>IF(T232*U232,Q232-P232,IF(T232&gt;U232,人员资源情况!B$2-P232,IF(T232&lt;U232,任务计划表!Q232-人员资源情况!A$2,0)))*R232*S232</f>
        <v/>
      </c>
      <c r="W160" s="0">
        <f>IF(V232&lt;0,0,V232)</f>
        <v/>
      </c>
    </row>
    <row r="161">
      <c r="E161" s="0" t="inlineStr">
        <is>
          <t>巴西经营中心</t>
        </is>
      </c>
      <c r="F161" s="0" t="inlineStr">
        <is>
          <t>DLMS系统联调</t>
        </is>
      </c>
      <c r="G161" s="0" t="inlineStr">
        <is>
          <t>1900-01-01</t>
        </is>
      </c>
      <c r="H161" s="0" t="inlineStr">
        <is>
          <t>2026-08-14</t>
        </is>
      </c>
      <c r="I161" s="0" t="inlineStr">
        <is>
          <t>TR4</t>
        </is>
      </c>
      <c r="J161" s="0" t="inlineStr">
        <is>
          <t>pull-class 22/9/40-初步分析</t>
        </is>
      </c>
      <c r="K161" s="0" t="inlineStr">
        <is>
          <t>@张国庆(80019159)</t>
        </is>
      </c>
      <c r="L161" s="0" t="inlineStr">
        <is>
          <t>2026-08-10</t>
        </is>
      </c>
      <c r="M161" s="0" t="inlineStr">
        <is>
          <t>2026-08-11</t>
        </is>
      </c>
      <c r="N161" s="0" t="n">
        <v>4</v>
      </c>
      <c r="O161" s="0">
        <f>任务计划表!K233</f>
        <v/>
      </c>
      <c r="P161" s="0">
        <f>IF(IF(任务计划表!L233="/",人员资源情况!$A$2,L233)&gt;M233,M233,(IF(任务计划表!L233="/",人员资源情况!$A$2,L233)))</f>
        <v/>
      </c>
      <c r="Q161" s="0">
        <f>IF(M233="/",人员资源情况!$B$2,任务计划表!M233)</f>
        <v/>
      </c>
      <c r="R161" s="0">
        <f>任务计划表!N233</f>
        <v/>
      </c>
      <c r="S161" s="0">
        <f>IF(O233=人员资源情况!C$2,1,0)</f>
        <v/>
      </c>
      <c r="T161" s="0">
        <f>IF(P233&gt;=人员资源情况!A$2,1,0)</f>
        <v/>
      </c>
      <c r="U161" s="0">
        <f>IF(Q233&lt;=人员资源情况!B$2,1,0)</f>
        <v/>
      </c>
      <c r="V161" s="0">
        <f>IF(T233*U233,Q233-P233,IF(T233&gt;U233,人员资源情况!B$2-P233,IF(T233&lt;U233,任务计划表!Q233-人员资源情况!A$2,0)))*R233*S233</f>
        <v/>
      </c>
      <c r="W161" s="0">
        <f>IF(V233&lt;0,0,V233)</f>
        <v/>
      </c>
    </row>
    <row r="162">
      <c r="E162" s="0" t="inlineStr">
        <is>
          <t>巴西经营中心</t>
        </is>
      </c>
      <c r="F162" s="0" t="inlineStr">
        <is>
          <t>DLMS系统联调</t>
        </is>
      </c>
      <c r="G162" s="0" t="inlineStr">
        <is>
          <t>1900-01-01</t>
        </is>
      </c>
      <c r="H162" s="0" t="inlineStr">
        <is>
          <t>2026-08-14</t>
        </is>
      </c>
      <c r="I162" s="0" t="inlineStr">
        <is>
          <t>TR4</t>
        </is>
      </c>
      <c r="J162" s="0" t="inlineStr">
        <is>
          <t>pull-class 22/9/40-代码修复</t>
        </is>
      </c>
      <c r="K162" s="0" t="inlineStr">
        <is>
          <t>@袁琮欣(80015786)(袁琮欣)</t>
        </is>
      </c>
      <c r="L162" s="0" t="inlineStr">
        <is>
          <t>2026-08-10</t>
        </is>
      </c>
      <c r="M162" s="0" t="inlineStr">
        <is>
          <t>2026-08-11</t>
        </is>
      </c>
      <c r="N162" s="0" t="n">
        <v>4</v>
      </c>
      <c r="O162" s="0">
        <f>任务计划表!K234</f>
        <v/>
      </c>
      <c r="P162" s="0">
        <f>IF(IF(任务计划表!L234="/",人员资源情况!$A$2,L234)&gt;M234,M234,(IF(任务计划表!L234="/",人员资源情况!$A$2,L234)))</f>
        <v/>
      </c>
      <c r="Q162" s="0">
        <f>IF(M234="/",人员资源情况!$B$2,任务计划表!M234)</f>
        <v/>
      </c>
      <c r="R162" s="0">
        <f>任务计划表!N234</f>
        <v/>
      </c>
      <c r="S162" s="0">
        <f>IF(O234=人员资源情况!C$2,1,0)</f>
        <v/>
      </c>
      <c r="T162" s="0">
        <f>IF(P234&gt;=人员资源情况!A$2,1,0)</f>
        <v/>
      </c>
      <c r="U162" s="0">
        <f>IF(Q234&lt;=人员资源情况!B$2,1,0)</f>
        <v/>
      </c>
      <c r="V162" s="0">
        <f>IF(T234*U234,Q234-P234,IF(T234&gt;U234,人员资源情况!B$2-P234,IF(T234&lt;U234,任务计划表!Q234-人员资源情况!A$2,0)))*R234*S234</f>
        <v/>
      </c>
      <c r="W162" s="0">
        <f>IF(V234&lt;0,0,V234)</f>
        <v/>
      </c>
    </row>
    <row r="163">
      <c r="E163" s="0" t="inlineStr">
        <is>
          <t>巴西经营中心</t>
        </is>
      </c>
      <c r="F163" s="0" t="inlineStr">
        <is>
          <t>DLMS系统联调</t>
        </is>
      </c>
      <c r="G163" s="0" t="inlineStr">
        <is>
          <t>1900-01-01</t>
        </is>
      </c>
      <c r="H163" s="0" t="inlineStr">
        <is>
          <t>2026-08-14</t>
        </is>
      </c>
      <c r="I163" s="0" t="inlineStr">
        <is>
          <t>TR4</t>
        </is>
      </c>
      <c r="J163" s="0" t="inlineStr">
        <is>
          <t>pull-class profile-初步分析</t>
        </is>
      </c>
      <c r="K163" s="0" t="inlineStr">
        <is>
          <t>@张国庆(80019159)</t>
        </is>
      </c>
      <c r="L163" s="0" t="inlineStr">
        <is>
          <t>2026-08-11</t>
        </is>
      </c>
      <c r="M163" s="0" t="inlineStr">
        <is>
          <t>2026-08-12</t>
        </is>
      </c>
      <c r="N163" s="0" t="n">
        <v>1</v>
      </c>
      <c r="O163" s="0">
        <f>任务计划表!K235</f>
        <v/>
      </c>
      <c r="P163" s="0">
        <f>IF(IF(任务计划表!L235="/",人员资源情况!$A$2,L235)&gt;M235,M235,(IF(任务计划表!L235="/",人员资源情况!$A$2,L235)))</f>
        <v/>
      </c>
      <c r="Q163" s="0">
        <f>IF(M235="/",人员资源情况!$B$2,任务计划表!M235)</f>
        <v/>
      </c>
      <c r="R163" s="0">
        <f>任务计划表!N235</f>
        <v/>
      </c>
      <c r="S163" s="0">
        <f>IF(O235=人员资源情况!C$2,1,0)</f>
        <v/>
      </c>
      <c r="T163" s="0">
        <f>IF(P235&gt;=人员资源情况!A$2,1,0)</f>
        <v/>
      </c>
      <c r="U163" s="0">
        <f>IF(Q235&lt;=人员资源情况!B$2,1,0)</f>
        <v/>
      </c>
      <c r="V163" s="0">
        <f>IF(T235*U235,Q235-P235,IF(T235&gt;U235,人员资源情况!B$2-P235,IF(T235&lt;U235,任务计划表!Q235-人员资源情况!A$2,0)))*R235*S235</f>
        <v/>
      </c>
      <c r="W163" s="0">
        <f>IF(V235&lt;0,0,V235)</f>
        <v/>
      </c>
    </row>
    <row r="164">
      <c r="E164" s="0" t="inlineStr">
        <is>
          <t>巴西经营中心</t>
        </is>
      </c>
      <c r="F164" s="0" t="inlineStr">
        <is>
          <t>DLMS系统联调</t>
        </is>
      </c>
      <c r="G164" s="0" t="inlineStr">
        <is>
          <t>1900-01-01</t>
        </is>
      </c>
      <c r="H164" s="0" t="inlineStr">
        <is>
          <t>2026-08-14</t>
        </is>
      </c>
      <c r="I164" s="0" t="inlineStr">
        <is>
          <t>TR4</t>
        </is>
      </c>
      <c r="J164" s="0" t="inlineStr">
        <is>
          <t>pull-class profile-代码修复</t>
        </is>
      </c>
      <c r="K164" s="0" t="inlineStr">
        <is>
          <t>@袁琮欣(80015786)(袁琮欣)</t>
        </is>
      </c>
      <c r="L164" s="0" t="inlineStr">
        <is>
          <t>2026-08-11</t>
        </is>
      </c>
      <c r="M164" s="0" t="inlineStr">
        <is>
          <t>2026-08-12</t>
        </is>
      </c>
      <c r="N164" s="0" t="n">
        <v>1</v>
      </c>
      <c r="O164" s="0">
        <f>任务计划表!K236</f>
        <v/>
      </c>
      <c r="P164" s="0">
        <f>IF(IF(任务计划表!L236="/",人员资源情况!$A$2,L236)&gt;M236,M236,(IF(任务计划表!L236="/",人员资源情况!$A$2,L236)))</f>
        <v/>
      </c>
      <c r="Q164" s="0">
        <f>IF(M236="/",人员资源情况!$B$2,任务计划表!M236)</f>
        <v/>
      </c>
      <c r="R164" s="0">
        <f>任务计划表!N236</f>
        <v/>
      </c>
      <c r="S164" s="0">
        <f>IF(O236=人员资源情况!C$2,1,0)</f>
        <v/>
      </c>
      <c r="T164" s="0">
        <f>IF(P236&gt;=人员资源情况!A$2,1,0)</f>
        <v/>
      </c>
      <c r="U164" s="0">
        <f>IF(Q236&lt;=人员资源情况!B$2,1,0)</f>
        <v/>
      </c>
      <c r="V164" s="0">
        <f>IF(T236*U236,Q236-P236,IF(T236&gt;U236,人员资源情况!B$2-P236,IF(T236&lt;U236,任务计划表!Q236-人员资源情况!A$2,0)))*R236*S236</f>
        <v/>
      </c>
      <c r="W164" s="0">
        <f>IF(V236&lt;0,0,V236)</f>
        <v/>
      </c>
    </row>
    <row r="165">
      <c r="E165" s="0" t="inlineStr">
        <is>
          <t>巴西经营中心</t>
        </is>
      </c>
      <c r="F165" s="0" t="inlineStr">
        <is>
          <t>DLMS系统联调</t>
        </is>
      </c>
      <c r="G165" s="0" t="inlineStr">
        <is>
          <t>1900-01-01</t>
        </is>
      </c>
      <c r="H165" s="0" t="inlineStr">
        <is>
          <t>2026-08-14</t>
        </is>
      </c>
      <c r="I165" s="0" t="inlineStr">
        <is>
          <t>TR4</t>
        </is>
      </c>
      <c r="J165" s="0" t="inlineStr">
        <is>
          <t>pull-class event-初步分析</t>
        </is>
      </c>
      <c r="K165" s="0" t="inlineStr">
        <is>
          <t>@张国庆(80019159)</t>
        </is>
      </c>
      <c r="L165" s="0" t="inlineStr">
        <is>
          <t>2026-08-12</t>
        </is>
      </c>
      <c r="M165" s="0" t="inlineStr">
        <is>
          <t>2026-08-14</t>
        </is>
      </c>
      <c r="N165" s="0" t="n">
        <v>5</v>
      </c>
      <c r="O165" s="0">
        <f>任务计划表!K237</f>
        <v/>
      </c>
      <c r="P165" s="0">
        <f>IF(IF(任务计划表!L237="/",人员资源情况!$A$2,L237)&gt;M237,M237,(IF(任务计划表!L237="/",人员资源情况!$A$2,L237)))</f>
        <v/>
      </c>
      <c r="Q165" s="0">
        <f>IF(M237="/",人员资源情况!$B$2,任务计划表!M237)</f>
        <v/>
      </c>
      <c r="R165" s="0">
        <f>任务计划表!N237</f>
        <v/>
      </c>
      <c r="S165" s="0">
        <f>IF(O237=人员资源情况!C$2,1,0)</f>
        <v/>
      </c>
      <c r="T165" s="0">
        <f>IF(P237&gt;=人员资源情况!A$2,1,0)</f>
        <v/>
      </c>
      <c r="U165" s="0">
        <f>IF(Q237&lt;=人员资源情况!B$2,1,0)</f>
        <v/>
      </c>
      <c r="V165" s="0">
        <f>IF(T237*U237,Q237-P237,IF(T237&gt;U237,人员资源情况!B$2-P237,IF(T237&lt;U237,任务计划表!Q237-人员资源情况!A$2,0)))*R237*S237</f>
        <v/>
      </c>
      <c r="W165" s="0">
        <f>IF(V237&lt;0,0,V237)</f>
        <v/>
      </c>
    </row>
    <row r="166">
      <c r="E166" s="0" t="inlineStr">
        <is>
          <t>巴西经营中心</t>
        </is>
      </c>
      <c r="F166" s="0" t="inlineStr">
        <is>
          <t>DLMS系统联调</t>
        </is>
      </c>
      <c r="G166" s="0" t="inlineStr">
        <is>
          <t>1900-01-01</t>
        </is>
      </c>
      <c r="H166" s="0" t="inlineStr">
        <is>
          <t>2026-08-14</t>
        </is>
      </c>
      <c r="I166" s="0" t="inlineStr">
        <is>
          <t>TR4</t>
        </is>
      </c>
      <c r="J166" s="0" t="inlineStr">
        <is>
          <t>pull-class event-代码修复</t>
        </is>
      </c>
      <c r="K166" s="0" t="inlineStr">
        <is>
          <t>@李昊龙(80016809)</t>
        </is>
      </c>
      <c r="L166" s="0" t="inlineStr">
        <is>
          <t>2026-08-12</t>
        </is>
      </c>
      <c r="M166" s="0" t="inlineStr">
        <is>
          <t>2026-08-14</t>
        </is>
      </c>
      <c r="N166" s="0" t="n">
        <v>3</v>
      </c>
      <c r="O166" s="0">
        <f>任务计划表!K238</f>
        <v/>
      </c>
      <c r="P166" s="0">
        <f>IF(IF(任务计划表!L238="/",人员资源情况!$A$2,L238)&gt;M238,M238,(IF(任务计划表!L238="/",人员资源情况!$A$2,L238)))</f>
        <v/>
      </c>
      <c r="Q166" s="0">
        <f>IF(M238="/",人员资源情况!$B$2,任务计划表!M238)</f>
        <v/>
      </c>
      <c r="R166" s="0">
        <f>任务计划表!N238</f>
        <v/>
      </c>
      <c r="S166" s="0">
        <f>IF(O238=人员资源情况!C$2,1,0)</f>
        <v/>
      </c>
      <c r="T166" s="0">
        <f>IF(P238&gt;=人员资源情况!A$2,1,0)</f>
        <v/>
      </c>
      <c r="U166" s="0">
        <f>IF(Q238&lt;=人员资源情况!B$2,1,0)</f>
        <v/>
      </c>
      <c r="V166" s="0">
        <f>IF(T238*U238,Q238-P238,IF(T238&gt;U238,人员资源情况!B$2-P238,IF(T238&lt;U238,任务计划表!Q238-人员资源情况!A$2,0)))*R238*S238</f>
        <v/>
      </c>
      <c r="W166" s="0">
        <f>IF(V238&lt;0,0,V238)</f>
        <v/>
      </c>
    </row>
    <row r="167">
      <c r="E167" s="0" t="inlineStr">
        <is>
          <t>巴西经营中心</t>
        </is>
      </c>
      <c r="F167" s="0" t="inlineStr">
        <is>
          <t>DLMS系统联调</t>
        </is>
      </c>
      <c r="G167" s="0" t="inlineStr">
        <is>
          <t>1900-01-01</t>
        </is>
      </c>
      <c r="H167" s="0" t="inlineStr">
        <is>
          <t>2026-08-14</t>
        </is>
      </c>
      <c r="I167" s="0" t="inlineStr">
        <is>
          <t>TR4</t>
        </is>
      </c>
      <c r="J167" s="0" t="inlineStr">
        <is>
          <t>Pull-alarm-register/Filter/</t>
        </is>
      </c>
      <c r="K167" s="0" t="inlineStr">
        <is>
          <t>@张国庆(80019159)</t>
        </is>
      </c>
      <c r="L167" s="0" t="inlineStr">
        <is>
          <t>1900-01-01</t>
        </is>
      </c>
      <c r="M167" s="0" t="inlineStr">
        <is>
          <t>2026-08-13</t>
        </is>
      </c>
      <c r="N167" s="0" t="n">
        <v>2</v>
      </c>
      <c r="O167" s="0">
        <f>任务计划表!K239</f>
        <v/>
      </c>
      <c r="P167" s="0">
        <f>IF(IF(任务计划表!L239="/",人员资源情况!$A$2,L239)&gt;M239,M239,(IF(任务计划表!L239="/",人员资源情况!$A$2,L239)))</f>
        <v/>
      </c>
      <c r="Q167" s="0">
        <f>IF(M239="/",人员资源情况!$B$2,任务计划表!M239)</f>
        <v/>
      </c>
      <c r="R167" s="0">
        <f>任务计划表!N239</f>
        <v/>
      </c>
      <c r="S167" s="0">
        <f>IF(O239=人员资源情况!C$2,1,0)</f>
        <v/>
      </c>
      <c r="T167" s="0">
        <f>IF(P239&gt;=人员资源情况!A$2,1,0)</f>
        <v/>
      </c>
      <c r="U167" s="0">
        <f>IF(Q239&lt;=人员资源情况!B$2,1,0)</f>
        <v/>
      </c>
      <c r="V167" s="0">
        <f>IF(T239*U239,Q239-P239,IF(T239&gt;U239,人员资源情况!B$2-P239,IF(T239&lt;U239,任务计划表!Q239-人员资源情况!A$2,0)))*R239*S239</f>
        <v/>
      </c>
      <c r="W167" s="0">
        <f>IF(V239&lt;0,0,V239)</f>
        <v/>
      </c>
    </row>
    <row r="168">
      <c r="E168" s="0" t="inlineStr">
        <is>
          <t>巴西经营中心</t>
        </is>
      </c>
      <c r="F168" s="0" t="inlineStr">
        <is>
          <t>DLMS系统联调</t>
        </is>
      </c>
      <c r="G168" s="0" t="inlineStr">
        <is>
          <t>1900-01-01</t>
        </is>
      </c>
      <c r="H168" s="0" t="inlineStr">
        <is>
          <t>2026-08-14</t>
        </is>
      </c>
      <c r="I168" s="0" t="inlineStr">
        <is>
          <t>TR4</t>
        </is>
      </c>
      <c r="J168" s="0" t="inlineStr">
        <is>
          <t>Pull-alarm-register/Filter/</t>
        </is>
      </c>
      <c r="K168" s="0" t="inlineStr">
        <is>
          <t>@李昊龙(80016809)</t>
        </is>
      </c>
      <c r="L168" s="0" t="inlineStr">
        <is>
          <t>1900-01-01</t>
        </is>
      </c>
      <c r="M168" s="0" t="inlineStr">
        <is>
          <t>2026-08-13</t>
        </is>
      </c>
      <c r="N168" s="0" t="n">
        <v>2</v>
      </c>
      <c r="O168" s="0">
        <f>任务计划表!K240</f>
        <v/>
      </c>
      <c r="P168" s="0">
        <f>IF(IF(任务计划表!L240="/",人员资源情况!$A$2,L240)&gt;M240,M240,(IF(任务计划表!L240="/",人员资源情况!$A$2,L240)))</f>
        <v/>
      </c>
      <c r="Q168" s="0">
        <f>IF(M240="/",人员资源情况!$B$2,任务计划表!M240)</f>
        <v/>
      </c>
      <c r="R168" s="0">
        <f>任务计划表!N240</f>
        <v/>
      </c>
      <c r="S168" s="0">
        <f>IF(O240=人员资源情况!C$2,1,0)</f>
        <v/>
      </c>
      <c r="T168" s="0">
        <f>IF(P240&gt;=人员资源情况!A$2,1,0)</f>
        <v/>
      </c>
      <c r="U168" s="0">
        <f>IF(Q240&lt;=人员资源情况!B$2,1,0)</f>
        <v/>
      </c>
      <c r="V168" s="0">
        <f>IF(T240*U240,Q240-P240,IF(T240&gt;U240,人员资源情况!B$2-P240,IF(T240&lt;U240,任务计划表!Q240-人员资源情况!A$2,0)))*R240*S240</f>
        <v/>
      </c>
      <c r="W168" s="0">
        <f>IF(V240&lt;0,0,V240)</f>
        <v/>
      </c>
    </row>
    <row r="169">
      <c r="E169" s="0" t="inlineStr">
        <is>
          <t>巴西经营中心</t>
        </is>
      </c>
      <c r="F169" s="0" t="inlineStr">
        <is>
          <t>DLMS系统联调</t>
        </is>
      </c>
      <c r="G169" s="0" t="inlineStr">
        <is>
          <t>1900-01-01</t>
        </is>
      </c>
      <c r="H169" s="0" t="inlineStr">
        <is>
          <t>2026-08-14</t>
        </is>
      </c>
      <c r="I169" s="0" t="inlineStr">
        <is>
          <t>TR4</t>
        </is>
      </c>
      <c r="J169" s="0" t="inlineStr">
        <is>
          <t>push alarm -初步分析</t>
        </is>
      </c>
      <c r="K169" s="0" t="inlineStr">
        <is>
          <t>@李昊龙(80016809)</t>
        </is>
      </c>
      <c r="L169" s="0" t="inlineStr">
        <is>
          <t>2026-08-12</t>
        </is>
      </c>
      <c r="M169" s="0" t="inlineStr">
        <is>
          <t>2026-08-13</t>
        </is>
      </c>
      <c r="N169" s="0" t="n">
        <v>2</v>
      </c>
      <c r="O169" s="0">
        <f>任务计划表!K241</f>
        <v/>
      </c>
      <c r="P169" s="0">
        <f>IF(IF(任务计划表!L241="/",人员资源情况!$A$2,L241)&gt;M241,M241,(IF(任务计划表!L241="/",人员资源情况!$A$2,L241)))</f>
        <v/>
      </c>
      <c r="Q169" s="0">
        <f>IF(M241="/",人员资源情况!$B$2,任务计划表!M241)</f>
        <v/>
      </c>
      <c r="R169" s="0">
        <f>任务计划表!N241</f>
        <v/>
      </c>
      <c r="S169" s="0">
        <f>IF(O241=人员资源情况!C$2,1,0)</f>
        <v/>
      </c>
      <c r="T169" s="0">
        <f>IF(P241&gt;=人员资源情况!A$2,1,0)</f>
        <v/>
      </c>
      <c r="U169" s="0">
        <f>IF(Q241&lt;=人员资源情况!B$2,1,0)</f>
        <v/>
      </c>
      <c r="V169" s="0">
        <f>IF(T241*U241,Q241-P241,IF(T241&gt;U241,人员资源情况!B$2-P241,IF(T241&lt;U241,任务计划表!Q241-人员资源情况!A$2,0)))*R241*S241</f>
        <v/>
      </c>
      <c r="W169" s="0">
        <f>IF(V241&lt;0,0,V241)</f>
        <v/>
      </c>
    </row>
    <row r="170">
      <c r="E170" s="0" t="inlineStr">
        <is>
          <t>巴西经营中心</t>
        </is>
      </c>
      <c r="F170" s="0" t="inlineStr">
        <is>
          <t>DLMS系统联调</t>
        </is>
      </c>
      <c r="G170" s="0" t="inlineStr">
        <is>
          <t>1900-01-01</t>
        </is>
      </c>
      <c r="H170" s="0" t="inlineStr">
        <is>
          <t>2026-08-14</t>
        </is>
      </c>
      <c r="I170" s="0" t="inlineStr">
        <is>
          <t>TR4</t>
        </is>
      </c>
      <c r="J170" s="0" t="inlineStr">
        <is>
          <t>push alarm -代码修复</t>
        </is>
      </c>
      <c r="K170" s="0" t="inlineStr">
        <is>
          <t>@李昊龙(80016809)</t>
        </is>
      </c>
      <c r="L170" s="0" t="inlineStr">
        <is>
          <t>2026-08-12</t>
        </is>
      </c>
      <c r="M170" s="0" t="inlineStr">
        <is>
          <t>2026-08-13</t>
        </is>
      </c>
      <c r="N170" s="0" t="n">
        <v>2</v>
      </c>
      <c r="O170" s="0">
        <f>任务计划表!K242</f>
        <v/>
      </c>
      <c r="P170" s="0">
        <f>IF(IF(任务计划表!L242="/",人员资源情况!$A$2,L242)&gt;M242,M242,(IF(任务计划表!L242="/",人员资源情况!$A$2,L242)))</f>
        <v/>
      </c>
      <c r="Q170" s="0">
        <f>IF(M242="/",人员资源情况!$B$2,任务计划表!M242)</f>
        <v/>
      </c>
      <c r="R170" s="0">
        <f>任务计划表!N242</f>
        <v/>
      </c>
      <c r="S170" s="0">
        <f>IF(O242=人员资源情况!C$2,1,0)</f>
        <v/>
      </c>
      <c r="T170" s="0">
        <f>IF(P242&gt;=人员资源情况!A$2,1,0)</f>
        <v/>
      </c>
      <c r="U170" s="0">
        <f>IF(Q242&lt;=人员资源情况!B$2,1,0)</f>
        <v/>
      </c>
      <c r="V170" s="0">
        <f>IF(T242*U242,Q242-P242,IF(T242&gt;U242,人员资源情况!B$2-P242,IF(T242&lt;U242,任务计划表!Q242-人员资源情况!A$2,0)))*R242*S242</f>
        <v/>
      </c>
      <c r="W170" s="0">
        <f>IF(V242&lt;0,0,V242)</f>
        <v/>
      </c>
    </row>
    <row r="171">
      <c r="E171" s="0" t="inlineStr">
        <is>
          <t>巴西经营中心</t>
        </is>
      </c>
      <c r="F171" s="0" t="inlineStr">
        <is>
          <t>DLMS系统联调</t>
        </is>
      </c>
      <c r="G171" s="0" t="inlineStr">
        <is>
          <t>1900-01-01</t>
        </is>
      </c>
      <c r="H171" s="0" t="inlineStr">
        <is>
          <t>2026-08-14</t>
        </is>
      </c>
      <c r="I171" s="0" t="inlineStr">
        <is>
          <t>TR4</t>
        </is>
      </c>
      <c r="J171" s="0" t="inlineStr">
        <is>
          <t>pull-class1/3模组+基础信息</t>
        </is>
      </c>
      <c r="K171" s="0" t="inlineStr">
        <is>
          <t>@张国庆(80019159)</t>
        </is>
      </c>
      <c r="L171" s="0" t="inlineStr">
        <is>
          <t>2026-08-07</t>
        </is>
      </c>
      <c r="M171" s="0" t="inlineStr">
        <is>
          <t>2026-08-10</t>
        </is>
      </c>
      <c r="N171" s="0" t="n">
        <v>4</v>
      </c>
      <c r="O171" s="0">
        <f>任务计划表!K243</f>
        <v/>
      </c>
      <c r="P171" s="0">
        <f>IF(IF(任务计划表!L243="/",人员资源情况!$A$2,L243)&gt;M243,M243,(IF(任务计划表!L243="/",人员资源情况!$A$2,L243)))</f>
        <v/>
      </c>
      <c r="Q171" s="0">
        <f>IF(M243="/",人员资源情况!$B$2,任务计划表!M243)</f>
        <v/>
      </c>
      <c r="R171" s="0">
        <f>任务计划表!N243</f>
        <v/>
      </c>
      <c r="S171" s="0">
        <f>IF(O243=人员资源情况!C$2,1,0)</f>
        <v/>
      </c>
      <c r="T171" s="0">
        <f>IF(P243&gt;=人员资源情况!A$2,1,0)</f>
        <v/>
      </c>
      <c r="U171" s="0">
        <f>IF(Q243&lt;=人员资源情况!B$2,1,0)</f>
        <v/>
      </c>
      <c r="V171" s="0">
        <f>IF(T243*U243,Q243-P243,IF(T243&gt;U243,人员资源情况!B$2-P243,IF(T243&lt;U243,任务计划表!Q243-人员资源情况!A$2,0)))*R243*S243</f>
        <v/>
      </c>
      <c r="W171" s="0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pending</t>
        </is>
      </c>
      <c r="J78" s="0" t="inlineStr"/>
      <c r="K78" s="0" t="inlineStr"/>
      <c r="L78" s="0" t="inlineStr"/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pending</t>
        </is>
      </c>
      <c r="J79" s="0" t="inlineStr"/>
      <c r="K79" s="0" t="inlineStr"/>
      <c r="L79" s="0" t="inlineStr"/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2026-08-03T02:23:16Z</dcterms:modified>
  <cp:lastModifiedBy>项家祺</cp:lastModifiedBy>
</cp:coreProperties>
</file>