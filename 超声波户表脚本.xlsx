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4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A5" s="0" t="inlineStr">
        <is>
          <t>已归档</t>
        </is>
      </c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A13" s="0" t="inlineStr">
        <is>
          <t>已归档</t>
        </is>
      </c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A18" s="0" t="inlineStr">
        <is>
          <t>已归档</t>
        </is>
      </c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A27" t="inlineStr">
        <is>
          <t>已归档</t>
        </is>
      </c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  <c r="X27" s="0" t="inlineStr">
        <is>
          <t>PENDING_ARCHIVE</t>
        </is>
      </c>
      <c r="Y27" s="0" t="inlineStr">
        <is>
          <t>dajinyu|2026-08-03T00:33:05.405019</t>
        </is>
      </c>
      <c r="AA27" s="0" t="inlineStr">
        <is>
          <t>archive</t>
        </is>
      </c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2026-08-03</t>
        </is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inlineStr">
        <is>
          <t>2026-08-03</t>
        </is>
      </c>
      <c r="M55" s="19" t="inlineStr">
        <is>
          <t>2026-08-07</t>
        </is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  <c r="X216" s="0" t="inlineStr">
        <is>
          <t>PENDING_ARCHIVE</t>
        </is>
      </c>
      <c r="Y216" s="0" t="inlineStr">
        <is>
          <t>dajinyu|2026-08-03T00:32:55.702030</t>
        </is>
      </c>
      <c r="AA216" s="0" t="inlineStr">
        <is>
          <t>archive</t>
        </is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测试工程师</t>
        </is>
      </c>
      <c r="K222" s="0" t="inlineStr">
        <is>
          <t>@袁知正</t>
        </is>
      </c>
      <c r="L222" s="0" t="inlineStr">
        <is>
          <t>2026-08-17</t>
        </is>
      </c>
      <c r="M222" s="0" t="inlineStr">
        <is>
          <t>2026-08-20</t>
        </is>
      </c>
      <c r="N222" s="0" t="n">
        <v>8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@舒杰(80018942)</t>
        </is>
      </c>
      <c r="L223" s="0" t="inlineStr">
        <is>
          <t>2026-07-27</t>
        </is>
      </c>
      <c r="M223" s="0" t="inlineStr">
        <is>
          <t>2026-07-31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</row>
    <row r="224">
      <c r="E224" s="0" t="inlineStr">
        <is>
          <t>日常工作</t>
        </is>
      </c>
      <c r="F224" s="0" t="inlineStr">
        <is>
          <t>物料替换</t>
        </is>
      </c>
      <c r="G224" s="0" t="inlineStr">
        <is>
          <t>2026-07-27</t>
        </is>
      </c>
      <c r="H224" s="0" t="inlineStr">
        <is>
          <t>2026-07-31</t>
        </is>
      </c>
      <c r="I224" s="0" t="inlineStr">
        <is>
          <t>光耦替代料测试</t>
        </is>
      </c>
      <c r="J224" s="0" t="inlineStr">
        <is>
          <t>硬件工程师</t>
        </is>
      </c>
      <c r="K224" s="0" t="inlineStr">
        <is>
          <t>@舒杰(80018942)</t>
        </is>
      </c>
      <c r="L224" s="0" t="inlineStr">
        <is>
          <t>2026-07-27</t>
        </is>
      </c>
      <c r="M224" s="0" t="inlineStr">
        <is>
          <t>2026-07-31</t>
        </is>
      </c>
      <c r="N224" s="0" t="n">
        <v>2</v>
      </c>
      <c r="O224" s="0">
        <f>任务计划表!K224</f>
        <v/>
      </c>
      <c r="P224" s="0">
        <f>IF(IF(任务计划表!L224="/",人员资源情况!$A$2,L224)&gt;M224,M224,(IF(任务计划表!L224="/",人员资源情况!$A$2,L224)))</f>
        <v/>
      </c>
      <c r="Q224" s="0">
        <f>IF(M224="/",人员资源情况!$B$2,任务计划表!M224)</f>
        <v/>
      </c>
      <c r="R224" s="0">
        <f>任务计划表!N224</f>
        <v/>
      </c>
      <c r="S224" s="0">
        <f>IF(O224=人员资源情况!C$2,1,0)</f>
        <v/>
      </c>
      <c r="T224" s="0">
        <f>IF(P224&gt;=人员资源情况!A$2,1,0)</f>
        <v/>
      </c>
      <c r="U224" s="0">
        <f>IF(Q224&lt;=人员资源情况!B$2,1,0)</f>
        <v/>
      </c>
      <c r="V224" s="0">
        <f>IF(T224*U224,Q224-P224,IF(T224&gt;U224,人员资源情况!B$2-P224,IF(T224&lt;U224,任务计划表!Q224-人员资源情况!A$2,0)))*R224*S224</f>
        <v/>
      </c>
      <c r="W224" s="0">
        <f>IF(V224&lt;0,0,V224)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  <row r="73">
      <c r="A73" s="0" t="inlineStr">
        <is>
          <t>OP-20260731-002</t>
        </is>
      </c>
      <c r="B73" s="0" t="inlineStr">
        <is>
          <t>2026-07-31T11:33:55.715983</t>
        </is>
      </c>
      <c r="C73" s="0" t="inlineStr">
        <is>
          <t>system</t>
        </is>
      </c>
      <c r="D73" s="0" t="inlineStr">
        <is>
          <t>requirement_auto_archive</t>
        </is>
      </c>
      <c r="E73" s="0" t="inlineStr">
        <is>
          <t>[]</t>
        </is>
      </c>
      <c r="F73" s="0" t="inlineStr">
        <is>
          <t>["测试需求看板"]</t>
        </is>
      </c>
      <c r="G73" s="0" t="inlineStr">
        <is>
          <t>{"status": "accepted"}</t>
        </is>
      </c>
      <c r="H73" s="0" t="inlineStr">
        <is>
          <t>{"status": "archived", "原因": "3天未确认"}</t>
        </is>
      </c>
      <c r="I73" s="0" t="inlineStr">
        <is>
          <t>direct</t>
        </is>
      </c>
      <c r="J73" s="0" t="inlineStr"/>
      <c r="K73" s="0" t="inlineStr"/>
      <c r="L73" s="0" t="inlineStr"/>
    </row>
    <row r="74">
      <c r="A74" s="0" t="inlineStr">
        <is>
          <t>OP-20260731-003</t>
        </is>
      </c>
      <c r="B74" s="0" t="inlineStr">
        <is>
          <t>2026-07-31T11:33:58.801651</t>
        </is>
      </c>
      <c r="C74" s="0" t="inlineStr">
        <is>
          <t>system</t>
        </is>
      </c>
      <c r="D74" s="0" t="inlineStr">
        <is>
          <t>requirement_auto_archive</t>
        </is>
      </c>
      <c r="E74" s="0" t="inlineStr">
        <is>
          <t>[]</t>
        </is>
      </c>
      <c r="F74" s="0" t="inlineStr">
        <is>
          <t>["EEPROM替代"]</t>
        </is>
      </c>
      <c r="G74" s="0" t="inlineStr">
        <is>
          <t>{"status": "accepted"}</t>
        </is>
      </c>
      <c r="H74" s="0" t="inlineStr">
        <is>
          <t>{"status": "archived", "原因": "3天未确认"}</t>
        </is>
      </c>
      <c r="I74" s="0" t="inlineStr">
        <is>
          <t>direct</t>
        </is>
      </c>
      <c r="J74" s="0" t="inlineStr"/>
      <c r="K74" s="0" t="inlineStr"/>
      <c r="L74" s="0" t="inlineStr"/>
    </row>
    <row r="75">
      <c r="A75" s="0" t="inlineStr">
        <is>
          <t>OP-20260803-001</t>
        </is>
      </c>
      <c r="B75" s="0" t="inlineStr">
        <is>
          <t>2026-08-03T00:32:56.904034</t>
        </is>
      </c>
      <c r="C75" s="0" t="inlineStr">
        <is>
          <t>dajinyu</t>
        </is>
      </c>
      <c r="D75" s="0" t="inlineStr">
        <is>
          <t>archive</t>
        </is>
      </c>
      <c r="E75" s="0" t="inlineStr">
        <is>
          <t>[215]</t>
        </is>
      </c>
      <c r="F75" s="0" t="inlineStr">
        <is>
          <t>["研究院LoRaWAN"]</t>
        </is>
      </c>
      <c r="G75" s="0" t="inlineStr">
        <is>
          <t>{"部门": "产品降本", "项目": "研究院LoRaWAN", "项目描述": "测试lorawan项目主板基础功能", "资源类型": "固件工程师", "资源名称": "答金雨", "资源开始时间": "2026-07-27", "资源结束时间": "2026-07-30", "日平均工时": 8}</t>
        </is>
      </c>
      <c r="H75" s="0" t="inlineStr">
        <is>
          <t>{}</t>
        </is>
      </c>
      <c r="I75" s="0" t="inlineStr">
        <is>
          <t>pending</t>
        </is>
      </c>
      <c r="J75" s="0" t="inlineStr"/>
      <c r="K75" s="0" t="inlineStr"/>
      <c r="L75" s="0" t="inlineStr"/>
    </row>
    <row r="76">
      <c r="A76" s="0" t="inlineStr">
        <is>
          <t>OP-20260803-002</t>
        </is>
      </c>
      <c r="B76" s="0" t="inlineStr">
        <is>
          <t>2026-08-03T00:33:06.207778</t>
        </is>
      </c>
      <c r="C76" s="0" t="inlineStr">
        <is>
          <t>dajinyu</t>
        </is>
      </c>
      <c r="D76" s="0" t="inlineStr">
        <is>
          <t>archive</t>
        </is>
      </c>
      <c r="E76" s="0" t="inlineStr">
        <is>
          <t>[26]</t>
        </is>
      </c>
      <c r="F76" s="0" t="inlineStr">
        <is>
          <t>["秘鲁-CAT1"]</t>
        </is>
      </c>
      <c r="G76" s="0" t="inlineStr">
        <is>
          <t>{"部门": "拉美", "项目": "秘鲁-CAT1", "项目描述": "TR4A-测试阶段", "资源类型": "固件工程师", "资源名称": "答金雨", "资源开始时间": "1900-01-01", "资源结束时间": "2026-07-20", "日平均工时": 6}</t>
        </is>
      </c>
      <c r="H76" s="0" t="inlineStr">
        <is>
          <t>{}</t>
        </is>
      </c>
      <c r="I76" s="0" t="inlineStr">
        <is>
          <t>pending</t>
        </is>
      </c>
      <c r="J76" s="0" t="inlineStr"/>
      <c r="K76" s="0" t="inlineStr"/>
      <c r="L76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2026-08-03T01:03:01Z</dcterms:modified>
  <cp:lastModifiedBy>项家祺</cp:lastModifiedBy>
</cp:coreProperties>
</file>