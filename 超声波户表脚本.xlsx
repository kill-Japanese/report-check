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6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/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/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/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/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/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/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/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/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/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/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/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/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/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/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16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t="inlineStr"/>
      <c r="F148" t="inlineStr">
        <is>
          <t>巴勒斯坦超声户表二开</t>
        </is>
      </c>
      <c r="G148" t="inlineStr">
        <is>
          <t>2026-07-09</t>
        </is>
      </c>
      <c r="H148" t="inlineStr">
        <is>
          <t>2026-08-15</t>
        </is>
      </c>
      <c r="I148" t="inlineStr">
        <is>
          <t>TR1</t>
        </is>
      </c>
      <c r="J148" t="inlineStr">
        <is>
          <t>需求导入</t>
        </is>
      </c>
      <c r="K148" t="inlineStr">
        <is>
          <t>@毛文豪(80018842)</t>
        </is>
      </c>
      <c r="L148" t="inlineStr">
        <is>
          <t>2026-07-09</t>
        </is>
      </c>
      <c r="M148" t="inlineStr">
        <is>
          <t>2026-07-10</t>
        </is>
      </c>
      <c r="N148" t="n">
        <v>0</v>
      </c>
      <c r="O148">
        <f>任务计划表!K148</f>
        <v/>
      </c>
      <c r="P148">
        <f>IF(IF(任务计划表!L148="/",人员资源情况!$A$2,L148)&gt;M148,M148,(IF(任务计划表!L148="/",人员资源情况!$A$2,L148)))</f>
        <v/>
      </c>
      <c r="Q148">
        <f>IF(M148="/",人员资源情况!$B$2,任务计划表!M148)</f>
        <v/>
      </c>
      <c r="R148">
        <f>任务计划表!N148</f>
        <v/>
      </c>
      <c r="S148">
        <f>IF(O148=人员资源情况!C$2,1,0)</f>
        <v/>
      </c>
      <c r="T148">
        <f>IF(P148&gt;=人员资源情况!A$2,1,0)</f>
        <v/>
      </c>
      <c r="U148">
        <f>IF(Q148&lt;=人员资源情况!B$2,1,0)</f>
        <v/>
      </c>
      <c r="V148">
        <f>IF(T148*U148,Q148-P148,IF(T148&gt;U148,人员资源情况!B$2-P148,IF(T148&lt;U148,任务计划表!Q148-人员资源情况!A$2,0)))*R148*S148</f>
        <v/>
      </c>
      <c r="W148">
        <f>IF(V148&lt;0,0,V148)</f>
        <v/>
      </c>
    </row>
    <row r="149">
      <c r="E149" t="inlineStr"/>
      <c r="F149" t="inlineStr">
        <is>
          <t>巴勒斯坦超声户表二开</t>
        </is>
      </c>
      <c r="G149" t="inlineStr">
        <is>
          <t>2026-07-09</t>
        </is>
      </c>
      <c r="H149" t="inlineStr">
        <is>
          <t>2026-08-15</t>
        </is>
      </c>
      <c r="I149" t="inlineStr">
        <is>
          <t>TR1</t>
        </is>
      </c>
      <c r="J149" t="inlineStr">
        <is>
          <t>需求评审</t>
        </is>
      </c>
      <c r="K149" t="inlineStr">
        <is>
          <t>@毛文豪(80018842)</t>
        </is>
      </c>
      <c r="L149" t="inlineStr">
        <is>
          <t>2026-07-09</t>
        </is>
      </c>
      <c r="M149" t="inlineStr">
        <is>
          <t>2026-07-10</t>
        </is>
      </c>
      <c r="N149" t="n">
        <v>0</v>
      </c>
      <c r="O149">
        <f>任务计划表!K149</f>
        <v/>
      </c>
      <c r="P149">
        <f>IF(IF(任务计划表!L149="/",人员资源情况!$A$2,L149)&gt;M149,M149,(IF(任务计划表!L149="/",人员资源情况!$A$2,L149)))</f>
        <v/>
      </c>
      <c r="Q149">
        <f>IF(M149="/",人员资源情况!$B$2,任务计划表!M149)</f>
        <v/>
      </c>
      <c r="R149">
        <f>任务计划表!N149</f>
        <v/>
      </c>
      <c r="S149">
        <f>IF(O149=人员资源情况!C$2,1,0)</f>
        <v/>
      </c>
      <c r="T149">
        <f>IF(P149&gt;=人员资源情况!A$2,1,0)</f>
        <v/>
      </c>
      <c r="U149">
        <f>IF(Q149&lt;=人员资源情况!B$2,1,0)</f>
        <v/>
      </c>
      <c r="V149">
        <f>IF(T149*U149,Q149-P149,IF(T149&gt;U149,人员资源情况!B$2-P149,IF(T149&lt;U149,任务计划表!Q149-人员资源情况!A$2,0)))*R149*S149</f>
        <v/>
      </c>
      <c r="W149">
        <f>IF(V149&lt;0,0,V149)</f>
        <v/>
      </c>
    </row>
    <row r="150">
      <c r="E150" t="inlineStr"/>
      <c r="F150" t="inlineStr">
        <is>
          <t>巴勒斯坦超声户表二开</t>
        </is>
      </c>
      <c r="G150" t="inlineStr">
        <is>
          <t>2026-07-09</t>
        </is>
      </c>
      <c r="H150" t="inlineStr">
        <is>
          <t>2026-08-15</t>
        </is>
      </c>
      <c r="I150" t="inlineStr">
        <is>
          <t>TR3</t>
        </is>
      </c>
      <c r="J150" t="inlineStr">
        <is>
          <t>巴勒斯坦二开SE文档评审</t>
        </is>
      </c>
      <c r="K150" t="inlineStr">
        <is>
          <t>@毛文豪(80018842)</t>
        </is>
      </c>
      <c r="L150" t="inlineStr">
        <is>
          <t>2026-07-21</t>
        </is>
      </c>
      <c r="M150" t="inlineStr">
        <is>
          <t>2026-07-23</t>
        </is>
      </c>
      <c r="N150" t="n">
        <v>8</v>
      </c>
      <c r="O150">
        <f>任务计划表!K150</f>
        <v/>
      </c>
      <c r="P150">
        <f>IF(IF(任务计划表!L150="/",人员资源情况!$A$2,L150)&gt;M150,M150,(IF(任务计划表!L150="/",人员资源情况!$A$2,L150)))</f>
        <v/>
      </c>
      <c r="Q150">
        <f>IF(M150="/",人员资源情况!$B$2,任务计划表!M150)</f>
        <v/>
      </c>
      <c r="R150">
        <f>任务计划表!N150</f>
        <v/>
      </c>
      <c r="S150">
        <f>IF(O150=人员资源情况!C$2,1,0)</f>
        <v/>
      </c>
      <c r="T150">
        <f>IF(P150&gt;=人员资源情况!A$2,1,0)</f>
        <v/>
      </c>
      <c r="U150">
        <f>IF(Q150&lt;=人员资源情况!B$2,1,0)</f>
        <v/>
      </c>
      <c r="V150">
        <f>IF(T150*U150,Q150-P150,IF(T150&gt;U150,人员资源情况!B$2-P150,IF(T150&lt;U150,任务计划表!Q150-人员资源情况!A$2,0)))*R150*S150</f>
        <v/>
      </c>
      <c r="W150">
        <f>IF(V150&lt;0,0,V150)</f>
        <v/>
      </c>
    </row>
    <row r="151">
      <c r="E151" t="inlineStr"/>
      <c r="F151" t="inlineStr">
        <is>
          <t>巴勒斯坦超声户表二开</t>
        </is>
      </c>
      <c r="G151" t="inlineStr">
        <is>
          <t>2026-07-09</t>
        </is>
      </c>
      <c r="H151" t="inlineStr">
        <is>
          <t>2026-08-15</t>
        </is>
      </c>
      <c r="I151" t="inlineStr">
        <is>
          <t>TR4</t>
        </is>
      </c>
      <c r="J151" t="inlineStr">
        <is>
          <t>水表固件代码编写</t>
        </is>
      </c>
      <c r="K151" t="inlineStr">
        <is>
          <t>@毛文豪(80018842)</t>
        </is>
      </c>
      <c r="L151" t="inlineStr">
        <is>
          <t>2026-07-23</t>
        </is>
      </c>
      <c r="M151" t="inlineStr">
        <is>
          <t>2026-07-25</t>
        </is>
      </c>
      <c r="N151" t="n">
        <v>6</v>
      </c>
      <c r="O151">
        <f>任务计划表!K151</f>
        <v/>
      </c>
      <c r="P151">
        <f>IF(IF(任务计划表!L151="/",人员资源情况!$A$2,L151)&gt;M151,M151,(IF(任务计划表!L151="/",人员资源情况!$A$2,L151)))</f>
        <v/>
      </c>
      <c r="Q151">
        <f>IF(M151="/",人员资源情况!$B$2,任务计划表!M151)</f>
        <v/>
      </c>
      <c r="R151">
        <f>任务计划表!N151</f>
        <v/>
      </c>
      <c r="S151">
        <f>IF(O151=人员资源情况!C$2,1,0)</f>
        <v/>
      </c>
      <c r="T151">
        <f>IF(P151&gt;=人员资源情况!A$2,1,0)</f>
        <v/>
      </c>
      <c r="U151">
        <f>IF(Q151&lt;=人员资源情况!B$2,1,0)</f>
        <v/>
      </c>
      <c r="V151">
        <f>IF(T151*U151,Q151-P151,IF(T151&gt;U151,人员资源情况!B$2-P151,IF(T151&lt;U151,任务计划表!Q151-人员资源情况!A$2,0)))*R151*S151</f>
        <v/>
      </c>
      <c r="W151">
        <f>IF(V151&lt;0,0,V151)</f>
        <v/>
      </c>
    </row>
    <row r="152">
      <c r="E152" t="inlineStr"/>
      <c r="F152" t="inlineStr">
        <is>
          <t>巴勒斯坦超声户表二开</t>
        </is>
      </c>
      <c r="G152" t="inlineStr">
        <is>
          <t>2026-07-09</t>
        </is>
      </c>
      <c r="H152" t="inlineStr">
        <is>
          <t>2026-08-15</t>
        </is>
      </c>
      <c r="I152" t="inlineStr">
        <is>
          <t>TR4</t>
        </is>
      </c>
      <c r="J152" t="inlineStr">
        <is>
          <t>水表固件自测</t>
        </is>
      </c>
      <c r="K152" t="inlineStr">
        <is>
          <t>@毛文豪(80018842)</t>
        </is>
      </c>
      <c r="L152" t="inlineStr">
        <is>
          <t>2026-07-27</t>
        </is>
      </c>
      <c r="M152" t="inlineStr">
        <is>
          <t>2026-07-29</t>
        </is>
      </c>
      <c r="N152" t="n">
        <v>6</v>
      </c>
      <c r="O152">
        <f>任务计划表!K152</f>
        <v/>
      </c>
      <c r="P152">
        <f>IF(IF(任务计划表!L152="/",人员资源情况!$A$2,L152)&gt;M152,M152,(IF(任务计划表!L152="/",人员资源情况!$A$2,L152)))</f>
        <v/>
      </c>
      <c r="Q152">
        <f>IF(M152="/",人员资源情况!$B$2,任务计划表!M152)</f>
        <v/>
      </c>
      <c r="R152">
        <f>任务计划表!N152</f>
        <v/>
      </c>
      <c r="S152">
        <f>IF(O152=人员资源情况!C$2,1,0)</f>
        <v/>
      </c>
      <c r="T152">
        <f>IF(P152&gt;=人员资源情况!A$2,1,0)</f>
        <v/>
      </c>
      <c r="U152">
        <f>IF(Q152&lt;=人员资源情况!B$2,1,0)</f>
        <v/>
      </c>
      <c r="V152">
        <f>IF(T152*U152,Q152-P152,IF(T152&gt;U152,人员资源情况!B$2-P152,IF(T152&lt;U152,任务计划表!Q152-人员资源情况!A$2,0)))*R152*S152</f>
        <v/>
      </c>
      <c r="W152">
        <f>IF(V152&lt;0,0,V152)</f>
        <v/>
      </c>
    </row>
    <row r="153">
      <c r="E153" t="inlineStr"/>
      <c r="F153" t="inlineStr">
        <is>
          <t>巴勒斯坦超声户表二开</t>
        </is>
      </c>
      <c r="G153" t="inlineStr">
        <is>
          <t>2026-07-09</t>
        </is>
      </c>
      <c r="H153" t="inlineStr">
        <is>
          <t>2026-08-15</t>
        </is>
      </c>
      <c r="I153" t="inlineStr">
        <is>
          <t>TR4</t>
        </is>
      </c>
      <c r="J153" t="inlineStr">
        <is>
          <t>CIU固件代码编写</t>
        </is>
      </c>
      <c r="K153" t="inlineStr">
        <is>
          <t>@毛文豪(80018842)</t>
        </is>
      </c>
      <c r="L153" t="inlineStr">
        <is>
          <t>2026-07-29</t>
        </is>
      </c>
      <c r="M153" t="inlineStr">
        <is>
          <t>2026-07-30</t>
        </is>
      </c>
      <c r="N153" t="n">
        <v>6</v>
      </c>
      <c r="O153">
        <f>任务计划表!K153</f>
        <v/>
      </c>
      <c r="P153">
        <f>IF(IF(任务计划表!L153="/",人员资源情况!$A$2,L153)&gt;M153,M153,(IF(任务计划表!L153="/",人员资源情况!$A$2,L153)))</f>
        <v/>
      </c>
      <c r="Q153">
        <f>IF(M153="/",人员资源情况!$B$2,任务计划表!M153)</f>
        <v/>
      </c>
      <c r="R153">
        <f>任务计划表!N153</f>
        <v/>
      </c>
      <c r="S153">
        <f>IF(O153=人员资源情况!C$2,1,0)</f>
        <v/>
      </c>
      <c r="T153">
        <f>IF(P153&gt;=人员资源情况!A$2,1,0)</f>
        <v/>
      </c>
      <c r="U153">
        <f>IF(Q153&lt;=人员资源情况!B$2,1,0)</f>
        <v/>
      </c>
      <c r="V153">
        <f>IF(T153*U153,Q153-P153,IF(T153&gt;U153,人员资源情况!B$2-P153,IF(T153&lt;U153,任务计划表!Q153-人员资源情况!A$2,0)))*R153*S153</f>
        <v/>
      </c>
      <c r="W153">
        <f>IF(V153&lt;0,0,V153)</f>
        <v/>
      </c>
    </row>
    <row r="154">
      <c r="E154" t="inlineStr"/>
      <c r="F154" t="inlineStr">
        <is>
          <t>巴勒斯坦超声户表二开</t>
        </is>
      </c>
      <c r="G154" t="inlineStr">
        <is>
          <t>2026-07-09</t>
        </is>
      </c>
      <c r="H154" t="inlineStr">
        <is>
          <t>2026-08-15</t>
        </is>
      </c>
      <c r="I154" t="inlineStr">
        <is>
          <t>TR4A</t>
        </is>
      </c>
      <c r="J154" t="inlineStr">
        <is>
          <t>样机制作</t>
        </is>
      </c>
      <c r="K154" t="inlineStr">
        <is>
          <t>@文春英</t>
        </is>
      </c>
      <c r="L154" t="inlineStr">
        <is>
          <t>2026-07-30</t>
        </is>
      </c>
      <c r="M154" t="inlineStr">
        <is>
          <t>2026-08-03</t>
        </is>
      </c>
      <c r="N154" t="n">
        <v>2</v>
      </c>
      <c r="O154">
        <f>任务计划表!K154</f>
        <v/>
      </c>
      <c r="P154">
        <f>IF(IF(任务计划表!L154="/",人员资源情况!$A$2,L154)&gt;M154,M154,(IF(任务计划表!L154="/",人员资源情况!$A$2,L154)))</f>
        <v/>
      </c>
      <c r="Q154">
        <f>IF(M154="/",人员资源情况!$B$2,任务计划表!M154)</f>
        <v/>
      </c>
      <c r="R154">
        <f>任务计划表!N154</f>
        <v/>
      </c>
      <c r="S154">
        <f>IF(O154=人员资源情况!C$2,1,0)</f>
        <v/>
      </c>
      <c r="T154">
        <f>IF(P154&gt;=人员资源情况!A$2,1,0)</f>
        <v/>
      </c>
      <c r="U154">
        <f>IF(Q154&lt;=人员资源情况!B$2,1,0)</f>
        <v/>
      </c>
      <c r="V154">
        <f>IF(T154*U154,Q154-P154,IF(T154&gt;U154,人员资源情况!B$2-P154,IF(T154&lt;U154,任务计划表!Q154-人员资源情况!A$2,0)))*R154*S154</f>
        <v/>
      </c>
      <c r="W154">
        <f>IF(V154&lt;0,0,V154)</f>
        <v/>
      </c>
    </row>
    <row r="155">
      <c r="E155" t="inlineStr"/>
      <c r="F155" t="inlineStr">
        <is>
          <t>巴勒斯坦超声户表二开</t>
        </is>
      </c>
      <c r="G155" t="inlineStr">
        <is>
          <t>2026-07-09</t>
        </is>
      </c>
      <c r="H155" t="inlineStr">
        <is>
          <t>2026-08-15</t>
        </is>
      </c>
      <c r="I155" t="inlineStr">
        <is>
          <t>TR4</t>
        </is>
      </c>
      <c r="J155" t="inlineStr">
        <is>
          <t>测试用例评审</t>
        </is>
      </c>
      <c r="K155" t="inlineStr">
        <is>
          <t>@袁知正</t>
        </is>
      </c>
      <c r="L155" t="inlineStr">
        <is>
          <t>2026-07-23</t>
        </is>
      </c>
      <c r="M155" t="inlineStr">
        <is>
          <t>2026-07-29</t>
        </is>
      </c>
      <c r="N155" t="n">
        <v>2</v>
      </c>
      <c r="O155">
        <f>任务计划表!K155</f>
        <v/>
      </c>
      <c r="P155">
        <f>IF(IF(任务计划表!L155="/",人员资源情况!$A$2,L155)&gt;M155,M155,(IF(任务计划表!L155="/",人员资源情况!$A$2,L155)))</f>
        <v/>
      </c>
      <c r="Q155">
        <f>IF(M155="/",人员资源情况!$B$2,任务计划表!M155)</f>
        <v/>
      </c>
      <c r="R155">
        <f>任务计划表!N155</f>
        <v/>
      </c>
      <c r="S155">
        <f>IF(O155=人员资源情况!C$2,1,0)</f>
        <v/>
      </c>
      <c r="T155">
        <f>IF(P155&gt;=人员资源情况!A$2,1,0)</f>
        <v/>
      </c>
      <c r="U155">
        <f>IF(Q155&lt;=人员资源情况!B$2,1,0)</f>
        <v/>
      </c>
      <c r="V155">
        <f>IF(T155*U155,Q155-P155,IF(T155&gt;U155,人员资源情况!B$2-P155,IF(T155&lt;U155,任务计划表!Q155-人员资源情况!A$2,0)))*R155*S155</f>
        <v/>
      </c>
      <c r="W155">
        <f>IF(V155&lt;0,0,V155)</f>
        <v/>
      </c>
    </row>
    <row r="156">
      <c r="E156" t="inlineStr"/>
      <c r="F156" t="inlineStr">
        <is>
          <t>巴勒斯坦超声户表二开</t>
        </is>
      </c>
      <c r="G156" t="inlineStr">
        <is>
          <t>2026-07-09</t>
        </is>
      </c>
      <c r="H156" t="inlineStr">
        <is>
          <t>2026-08-15</t>
        </is>
      </c>
      <c r="I156" t="inlineStr">
        <is>
          <t>TR4A</t>
        </is>
      </c>
      <c r="J156" t="inlineStr">
        <is>
          <t>测试报告</t>
        </is>
      </c>
      <c r="K156" t="inlineStr">
        <is>
          <t>@袁知正</t>
        </is>
      </c>
      <c r="L156" t="inlineStr">
        <is>
          <t>2026-07-30</t>
        </is>
      </c>
      <c r="M156" t="inlineStr">
        <is>
          <t>2026-08-12</t>
        </is>
      </c>
      <c r="N156" t="n">
        <v>8</v>
      </c>
      <c r="O156">
        <f>任务计划表!K156</f>
        <v/>
      </c>
      <c r="P156">
        <f>IF(IF(任务计划表!L156="/",人员资源情况!$A$2,L156)&gt;M156,M156,(IF(任务计划表!L156="/",人员资源情况!$A$2,L156)))</f>
        <v/>
      </c>
      <c r="Q156">
        <f>IF(M156="/",人员资源情况!$B$2,任务计划表!M156)</f>
        <v/>
      </c>
      <c r="R156">
        <f>任务计划表!N156</f>
        <v/>
      </c>
      <c r="S156">
        <f>IF(O156=人员资源情况!C$2,1,0)</f>
        <v/>
      </c>
      <c r="T156">
        <f>IF(P156&gt;=人员资源情况!A$2,1,0)</f>
        <v/>
      </c>
      <c r="U156">
        <f>IF(Q156&lt;=人员资源情况!B$2,1,0)</f>
        <v/>
      </c>
      <c r="V156">
        <f>IF(T156*U156,Q156-P156,IF(T156&gt;U156,人员资源情况!B$2-P156,IF(T156&lt;U156,任务计划表!Q156-人员资源情况!A$2,0)))*R156*S156</f>
        <v/>
      </c>
      <c r="W156">
        <f>IF(V156&lt;0,0,V156)</f>
        <v/>
      </c>
    </row>
    <row r="157">
      <c r="E157" t="inlineStr"/>
      <c r="F157" t="inlineStr">
        <is>
          <t>巴勒斯坦超声户表二开</t>
        </is>
      </c>
      <c r="G157" t="inlineStr">
        <is>
          <t>2026-07-09</t>
        </is>
      </c>
      <c r="H157" t="inlineStr">
        <is>
          <t>2026-08-15</t>
        </is>
      </c>
      <c r="I157" t="inlineStr">
        <is>
          <t>TR4A</t>
        </is>
      </c>
      <c r="J157" t="inlineStr">
        <is>
          <t>测试报告评审</t>
        </is>
      </c>
      <c r="K157" t="inlineStr">
        <is>
          <t>@袁知正</t>
        </is>
      </c>
      <c r="L157" t="inlineStr">
        <is>
          <t>2026-08-12</t>
        </is>
      </c>
      <c r="M157" t="inlineStr">
        <is>
          <t>2026-08-13</t>
        </is>
      </c>
      <c r="N157" t="n">
        <v>1</v>
      </c>
      <c r="O157">
        <f>任务计划表!K157</f>
        <v/>
      </c>
      <c r="P157">
        <f>IF(IF(任务计划表!L157="/",人员资源情况!$A$2,L157)&gt;M157,M157,(IF(任务计划表!L157="/",人员资源情况!$A$2,L157)))</f>
        <v/>
      </c>
      <c r="Q157">
        <f>IF(M157="/",人员资源情况!$B$2,任务计划表!M157)</f>
        <v/>
      </c>
      <c r="R157">
        <f>任务计划表!N157</f>
        <v/>
      </c>
      <c r="S157">
        <f>IF(O157=人员资源情况!C$2,1,0)</f>
        <v/>
      </c>
      <c r="T157">
        <f>IF(P157&gt;=人员资源情况!A$2,1,0)</f>
        <v/>
      </c>
      <c r="U157">
        <f>IF(Q157&lt;=人员资源情况!B$2,1,0)</f>
        <v/>
      </c>
      <c r="V157">
        <f>IF(T157*U157,Q157-P157,IF(T157&gt;U157,人员资源情况!B$2-P157,IF(T157&lt;U157,任务计划表!Q157-人员资源情况!A$2,0)))*R157*S157</f>
        <v/>
      </c>
      <c r="W157">
        <f>IF(V157&lt;0,0,V157)</f>
        <v/>
      </c>
    </row>
    <row r="158">
      <c r="E158" t="inlineStr"/>
      <c r="F158" t="inlineStr">
        <is>
          <t>巴勒斯坦超声户表二开</t>
        </is>
      </c>
      <c r="G158" t="inlineStr">
        <is>
          <t>2026-07-09</t>
        </is>
      </c>
      <c r="H158" t="inlineStr">
        <is>
          <t>2026-08-15</t>
        </is>
      </c>
      <c r="I158" t="inlineStr">
        <is>
          <t>TR5</t>
        </is>
      </c>
      <c r="J158" t="inlineStr">
        <is>
          <t>生产工艺及规程制定</t>
        </is>
      </c>
      <c r="K158" t="inlineStr">
        <is>
          <t>@肖庆阳</t>
        </is>
      </c>
      <c r="L158" t="inlineStr">
        <is>
          <t>2026-08-13</t>
        </is>
      </c>
      <c r="M158" t="inlineStr">
        <is>
          <t>2026-08-14</t>
        </is>
      </c>
      <c r="N158" t="n">
        <v>8</v>
      </c>
      <c r="O158">
        <f>任务计划表!K158</f>
        <v/>
      </c>
      <c r="P158">
        <f>IF(IF(任务计划表!L158="/",人员资源情况!$A$2,L158)&gt;M158,M158,(IF(任务计划表!L158="/",人员资源情况!$A$2,L158)))</f>
        <v/>
      </c>
      <c r="Q158">
        <f>IF(M158="/",人员资源情况!$B$2,任务计划表!M158)</f>
        <v/>
      </c>
      <c r="R158">
        <f>任务计划表!N158</f>
        <v/>
      </c>
      <c r="S158">
        <f>IF(O158=人员资源情况!C$2,1,0)</f>
        <v/>
      </c>
      <c r="T158">
        <f>IF(P158&gt;=人员资源情况!A$2,1,0)</f>
        <v/>
      </c>
      <c r="U158">
        <f>IF(Q158&lt;=人员资源情况!B$2,1,0)</f>
        <v/>
      </c>
      <c r="V158">
        <f>IF(T158*U158,Q158-P158,IF(T158&gt;U158,人员资源情况!B$2-P158,IF(T158&lt;U158,任务计划表!Q158-人员资源情况!A$2,0)))*R158*S158</f>
        <v/>
      </c>
      <c r="W158">
        <f>IF(V158&lt;0,0,V158)</f>
        <v/>
      </c>
    </row>
    <row r="159">
      <c r="E159" t="inlineStr"/>
      <c r="F159" t="inlineStr">
        <is>
          <t>巴勒斯坦超声户表二开</t>
        </is>
      </c>
      <c r="G159" t="inlineStr">
        <is>
          <t>2026-07-09</t>
        </is>
      </c>
      <c r="H159" t="inlineStr">
        <is>
          <t>2026-08-15</t>
        </is>
      </c>
      <c r="I159" t="inlineStr">
        <is>
          <t>TR5</t>
        </is>
      </c>
      <c r="J159" t="inlineStr">
        <is>
          <t>产品参数配置表</t>
        </is>
      </c>
      <c r="K159" t="inlineStr">
        <is>
          <t>@毛文豪(80018842)</t>
        </is>
      </c>
      <c r="L159" t="inlineStr">
        <is>
          <t>2026-08-13</t>
        </is>
      </c>
      <c r="M159" t="inlineStr">
        <is>
          <t>2026-08-14</t>
        </is>
      </c>
      <c r="N159" t="n">
        <v>2</v>
      </c>
      <c r="O159">
        <f>任务计划表!K159</f>
        <v/>
      </c>
      <c r="P159">
        <f>IF(IF(任务计划表!L159="/",人员资源情况!$A$2,L159)&gt;M159,M159,(IF(任务计划表!L159="/",人员资源情况!$A$2,L159)))</f>
        <v/>
      </c>
      <c r="Q159">
        <f>IF(M159="/",人员资源情况!$B$2,任务计划表!M159)</f>
        <v/>
      </c>
      <c r="R159">
        <f>任务计划表!N159</f>
        <v/>
      </c>
      <c r="S159">
        <f>IF(O159=人员资源情况!C$2,1,0)</f>
        <v/>
      </c>
      <c r="T159">
        <f>IF(P159&gt;=人员资源情况!A$2,1,0)</f>
        <v/>
      </c>
      <c r="U159">
        <f>IF(Q159&lt;=人员资源情况!B$2,1,0)</f>
        <v/>
      </c>
      <c r="V159">
        <f>IF(T159*U159,Q159-P159,IF(T159&gt;U159,人员资源情况!B$2-P159,IF(T159&lt;U159,任务计划表!Q159-人员资源情况!A$2,0)))*R159*S159</f>
        <v/>
      </c>
      <c r="W159">
        <f>IF(V159&lt;0,0,V159)</f>
        <v/>
      </c>
    </row>
    <row r="160">
      <c r="E160" t="inlineStr"/>
      <c r="F160" t="inlineStr">
        <is>
          <t>巴勒斯坦超声户表二开</t>
        </is>
      </c>
      <c r="G160" t="inlineStr">
        <is>
          <t>2026-07-09</t>
        </is>
      </c>
      <c r="H160" t="inlineStr">
        <is>
          <t>2026-08-15</t>
        </is>
      </c>
      <c r="I160" t="inlineStr">
        <is>
          <t>TR5</t>
        </is>
      </c>
      <c r="J160" t="inlineStr">
        <is>
          <t>生产资料归档</t>
        </is>
      </c>
      <c r="K160" t="inlineStr">
        <is>
          <t>@肖庆阳</t>
        </is>
      </c>
      <c r="L160" t="inlineStr">
        <is>
          <t>2026-08-14</t>
        </is>
      </c>
      <c r="M160" t="inlineStr">
        <is>
          <t>2026-08-15</t>
        </is>
      </c>
      <c r="N160" t="n">
        <v>8</v>
      </c>
      <c r="O160">
        <f>任务计划表!K160</f>
        <v/>
      </c>
      <c r="P160">
        <f>IF(IF(任务计划表!L160="/",人员资源情况!$A$2,L160)&gt;M160,M160,(IF(任务计划表!L160="/",人员资源情况!$A$2,L160)))</f>
        <v/>
      </c>
      <c r="Q160">
        <f>IF(M160="/",人员资源情况!$B$2,任务计划表!M160)</f>
        <v/>
      </c>
      <c r="R160">
        <f>任务计划表!N160</f>
        <v/>
      </c>
      <c r="S160">
        <f>IF(O160=人员资源情况!C$2,1,0)</f>
        <v/>
      </c>
      <c r="T160">
        <f>IF(P160&gt;=人员资源情况!A$2,1,0)</f>
        <v/>
      </c>
      <c r="U160">
        <f>IF(Q160&lt;=人员资源情况!B$2,1,0)</f>
        <v/>
      </c>
      <c r="V160">
        <f>IF(T160*U160,Q160-P160,IF(T160&gt;U160,人员资源情况!B$2-P160,IF(T160&lt;U160,任务计划表!Q160-人员资源情况!A$2,0)))*R160*S160</f>
        <v/>
      </c>
      <c r="W160">
        <f>IF(V160&lt;0,0,V160)</f>
        <v/>
      </c>
    </row>
    <row r="161">
      <c r="E161" t="inlineStr"/>
      <c r="F161" t="inlineStr">
        <is>
          <t>巴勒斯坦超声户表二开</t>
        </is>
      </c>
      <c r="G161" t="inlineStr">
        <is>
          <t>2026-07-09</t>
        </is>
      </c>
      <c r="H161" t="inlineStr">
        <is>
          <t>2026-08-15</t>
        </is>
      </c>
      <c r="I161" t="inlineStr">
        <is>
          <t>TR5</t>
        </is>
      </c>
      <c r="J161" t="inlineStr">
        <is>
          <t>项目结项评审</t>
        </is>
      </c>
      <c r="K161" t="inlineStr">
        <is>
          <t>@毛文豪(80018842)</t>
        </is>
      </c>
      <c r="L161" t="inlineStr">
        <is>
          <t>2026-08-14</t>
        </is>
      </c>
      <c r="M161" t="inlineStr">
        <is>
          <t>2026-08-15</t>
        </is>
      </c>
      <c r="N161" t="n">
        <v>1</v>
      </c>
      <c r="O161">
        <f>任务计划表!K161</f>
        <v/>
      </c>
      <c r="P161">
        <f>IF(IF(任务计划表!L161="/",人员资源情况!$A$2,L161)&gt;M161,M161,(IF(任务计划表!L161="/",人员资源情况!$A$2,L161)))</f>
        <v/>
      </c>
      <c r="Q161">
        <f>IF(M161="/",人员资源情况!$B$2,任务计划表!M161)</f>
        <v/>
      </c>
      <c r="R161">
        <f>任务计划表!N161</f>
        <v/>
      </c>
      <c r="S161">
        <f>IF(O161=人员资源情况!C$2,1,0)</f>
        <v/>
      </c>
      <c r="T161">
        <f>IF(P161&gt;=人员资源情况!A$2,1,0)</f>
        <v/>
      </c>
      <c r="U161">
        <f>IF(Q161&lt;=人员资源情况!B$2,1,0)</f>
        <v/>
      </c>
      <c r="V161">
        <f>IF(T161*U161,Q161-P161,IF(T161&gt;U161,人员资源情况!B$2-P161,IF(T161&lt;U161,任务计划表!Q161-人员资源情况!A$2,0)))*R161*S161</f>
        <v/>
      </c>
      <c r="W161">
        <f>IF(V161&lt;0,0,V161)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2026-07-23T05:58:29Z</dcterms:modified>
  <cp:lastModifiedBy>项家祺</cp:lastModifiedBy>
</cp:coreProperties>
</file>