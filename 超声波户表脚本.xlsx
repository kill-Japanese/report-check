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620" tabRatio="600" firstSheet="0" activeTab="1" autoFilterDateGrouping="1"/>
  </bookViews>
  <sheets>
    <sheet name="人员资源情况" sheetId="1" state="visible" r:id="rId1"/>
    <sheet name="任务计划表" sheetId="2" state="visible" r:id="rId2"/>
    <sheet name="操作记录" sheetId="3" state="visible" r:id="rId3"/>
  </sheets>
  <definedNames>
    <definedName name="_xlnm._FilterDatabase" localSheetId="1" hidden="1">'任务计划表'!$K$1:$K$1047096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.00_ "/>
  </numFmts>
  <fonts count="11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color rgb="FF000000"/>
      <sz val="11"/>
    </font>
    <font>
      <name val="Consolas"/>
      <color rgb="FF0F1115"/>
      <sz val="7"/>
    </font>
    <font>
      <name val="等线"/>
      <charset val="134"/>
      <color rgb="FF000000"/>
      <sz val="12"/>
    </font>
    <font>
      <name val="等线"/>
      <charset val="134"/>
      <color rgb="FFFE0300"/>
      <sz val="11"/>
    </font>
    <font>
      <name val="Consolas"/>
      <color rgb="FF0F1115"/>
      <sz val="6"/>
    </font>
    <font>
      <name val="等线"/>
      <charset val="134"/>
      <sz val="10"/>
    </font>
    <font>
      <name val="等线"/>
      <charset val="134"/>
      <color rgb="FF000000"/>
      <sz val="11"/>
    </font>
    <font>
      <name val="等线"/>
      <charset val="134"/>
      <color rgb="FF000000"/>
      <sz val="11"/>
    </font>
    <font>
      <name val="等线"/>
      <charset val="134"/>
      <color rgb="FF0563C1"/>
      <sz val="12"/>
    </font>
  </fonts>
  <fills count="3">
    <fill>
      <patternFill/>
    </fill>
    <fill>
      <patternFill patternType="gray125"/>
    </fill>
    <fill>
      <patternFill patternType="solid">
        <fgColor rgb="FFFCC10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14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164" fontId="2" fillId="0" borderId="0" pivotButton="0" quotePrefix="0" xfId="0"/>
    <xf numFmtId="164" fontId="3" fillId="0" borderId="0" applyAlignment="1" pivotButton="0" quotePrefix="0" xfId="0">
      <alignment vertical="center"/>
    </xf>
    <xf numFmtId="165" fontId="2" fillId="0" borderId="0" pivotButton="0" quotePrefix="0" xfId="0"/>
    <xf numFmtId="165" fontId="3" fillId="0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14" fontId="2" fillId="0" borderId="0" pivotButton="0" quotePrefix="0" xfId="0"/>
    <xf numFmtId="165" fontId="2" fillId="0" borderId="0" pivotButton="0" quotePrefix="0" xfId="0"/>
    <xf numFmtId="0" fontId="4" fillId="0" borderId="1" applyAlignment="1" pivotButton="0" quotePrefix="0" xfId="0">
      <alignment vertical="center"/>
    </xf>
    <xf numFmtId="0" fontId="2" fillId="0" borderId="2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2" fillId="0" borderId="3" applyAlignment="1" pivotButton="0" quotePrefix="0" xfId="0">
      <alignment horizontal="center" vertical="center"/>
    </xf>
    <xf numFmtId="14" fontId="2" fillId="0" borderId="1" pivotButton="0" quotePrefix="0" xfId="0"/>
    <xf numFmtId="14" fontId="2" fillId="0" borderId="1" applyAlignment="1" pivotButton="0" quotePrefix="0" xfId="0">
      <alignment horizontal="center"/>
    </xf>
    <xf numFmtId="0" fontId="2" fillId="2" borderId="1" pivotButton="0" quotePrefix="0" xfId="0"/>
    <xf numFmtId="14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14" fontId="2" fillId="0" borderId="1" applyAlignment="1" pivotButton="0" quotePrefix="0" xfId="0">
      <alignment wrapText="1"/>
    </xf>
    <xf numFmtId="1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4" pivotButton="0" quotePrefix="0" xfId="0"/>
    <xf numFmtId="0" fontId="2" fillId="0" borderId="4" applyAlignment="1" pivotButton="0" quotePrefix="0" xfId="0">
      <alignment wrapText="1"/>
    </xf>
    <xf numFmtId="14" fontId="2" fillId="0" borderId="2" pivotButton="0" quotePrefix="0" xfId="0"/>
    <xf numFmtId="0" fontId="4" fillId="2" borderId="0" applyAlignment="1" pivotButton="0" quotePrefix="0" xfId="0">
      <alignment vertical="center"/>
    </xf>
    <xf numFmtId="0" fontId="2" fillId="0" borderId="3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4" fontId="2" fillId="0" borderId="5" pivotButton="0" quotePrefix="0" xfId="0"/>
    <xf numFmtId="0" fontId="5" fillId="2" borderId="1" pivotButton="0" quotePrefix="0" xfId="0"/>
    <xf numFmtId="0" fontId="6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4" fontId="2" fillId="0" borderId="6" pivotButton="0" quotePrefix="0" xfId="0"/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/>
    </xf>
    <xf numFmtId="0" fontId="2" fillId="0" borderId="4" pivotButton="0" quotePrefix="0" xfId="0"/>
    <xf numFmtId="0" fontId="2" fillId="0" borderId="5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2" fillId="0" borderId="7" pivotButton="0" quotePrefix="0" xfId="0"/>
    <xf numFmtId="0" fontId="8" fillId="0" borderId="1" applyAlignment="1" pivotButton="0" quotePrefix="0" xfId="0">
      <alignment wrapText="1"/>
    </xf>
    <xf numFmtId="0" fontId="9" fillId="0" borderId="1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 wrapText="1"/>
    </xf>
    <xf numFmtId="0" fontId="2" fillId="0" borderId="8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7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4" pivotButton="0" quotePrefix="0" xfId="0"/>
    <xf numFmtId="0" fontId="2" fillId="0" borderId="8" pivotButton="0" quotePrefix="0" xfId="0"/>
    <xf numFmtId="0" fontId="2" fillId="0" borderId="5" pivotButton="0" quotePrefix="0" xfId="0"/>
    <xf numFmtId="14" fontId="2" fillId="0" borderId="4" applyAlignment="1" pivotButton="0" quotePrefix="0" xfId="0">
      <alignment horizontal="center" vertical="center"/>
    </xf>
    <xf numFmtId="14" fontId="2" fillId="0" borderId="8" applyAlignment="1" pivotButton="0" quotePrefix="0" xfId="0">
      <alignment horizontal="center" vertical="center"/>
    </xf>
    <xf numFmtId="14" fontId="2" fillId="0" borderId="5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2" fillId="0" borderId="1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0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0" fillId="0" borderId="9" pivotButton="0" quotePrefix="0" xfId="0"/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0" fillId="0" borderId="8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workbookViewId="0">
      <selection activeCell="A1" sqref="A1"/>
    </sheetView>
  </sheetViews>
  <sheetFormatPr baseColWidth="8" defaultColWidth="8.84375" defaultRowHeight="14" customHeight="1"/>
  <cols>
    <col width="16.84375" customWidth="1" style="9" min="1" max="1"/>
    <col width="19.69140625" customWidth="1" style="9" min="2" max="2"/>
    <col width="23.3046875" customWidth="1" style="47" min="3" max="3"/>
    <col width="10.3046875" customWidth="1" style="9" min="4" max="4"/>
  </cols>
  <sheetData>
    <row r="1" ht="14.25" customHeight="1" s="81">
      <c r="A1" s="9" t="inlineStr">
        <is>
          <t>开始时间</t>
        </is>
      </c>
      <c r="B1" s="9" t="inlineStr">
        <is>
          <t>结束时间</t>
        </is>
      </c>
      <c r="C1" s="9" t="inlineStr">
        <is>
          <t>人员</t>
        </is>
      </c>
      <c r="D1" s="9" t="inlineStr">
        <is>
          <t>工时</t>
        </is>
      </c>
    </row>
    <row r="2" ht="14.25" customHeight="1" s="81">
      <c r="A2" s="2" t="n">
        <v>46220</v>
      </c>
      <c r="B2" s="2" t="n">
        <v>46234</v>
      </c>
      <c r="C2" s="9" t="inlineStr">
        <is>
          <t xml:space="preserve"> @魏殷浩(80019157)</t>
        </is>
      </c>
      <c r="D2" s="9">
        <f>任务计划表!F1</f>
        <v/>
      </c>
    </row>
    <row r="4" ht="14" customHeight="1" s="81">
      <c r="O4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20"/>
  <sheetViews>
    <sheetView tabSelected="1" topLeftCell="G63" zoomScale="74" zoomScaleNormal="55" workbookViewId="0">
      <selection activeCell="S70" sqref="S70"/>
    </sheetView>
  </sheetViews>
  <sheetFormatPr baseColWidth="8" defaultColWidth="8.84375" defaultRowHeight="14" customHeight="1"/>
  <cols>
    <col width="12.84375" customWidth="1" style="47" min="5" max="5"/>
    <col width="29.15234375" customWidth="1" style="9" min="6" max="6"/>
    <col width="21.3046875" customWidth="1" style="9" min="7" max="7"/>
    <col width="10.4609375" customWidth="1" style="9" min="8" max="8"/>
    <col width="22.3828125" customWidth="1" style="9" min="9" max="9"/>
    <col width="39.3046875" customWidth="1" style="9" min="10" max="10"/>
    <col width="29" customWidth="1" style="9" min="11" max="11"/>
    <col width="17.69140625" customWidth="1" style="9" min="12" max="13"/>
    <col width="11.4609375" customWidth="1" style="9" min="14" max="14"/>
    <col width="21.69140625" customWidth="1" style="9" min="15" max="15"/>
    <col width="9.69140625" customWidth="1" style="9" min="16" max="16"/>
    <col width="10.84375" customWidth="1" style="9" min="17" max="17"/>
    <col width="25.69140625" customWidth="1" style="82" min="19" max="19"/>
    <col width="9.69140625" customWidth="1" style="11" min="20" max="21"/>
    <col width="9.69140625" customWidth="1" style="83" min="22" max="22"/>
  </cols>
  <sheetData>
    <row r="1" ht="14" customHeight="1" s="81">
      <c r="F1" s="4">
        <f>SUM(W4:W75)/(人员资源情况!B2-人员资源情况!A2)</f>
        <v/>
      </c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S1" s="82" t="n"/>
      <c r="V1" s="83" t="n"/>
    </row>
    <row r="2" ht="14.25" customHeight="1" s="81">
      <c r="E2" s="13" t="n"/>
      <c r="F2" s="14" t="inlineStr">
        <is>
          <t>项目</t>
        </is>
      </c>
      <c r="G2" s="32" t="inlineStr">
        <is>
          <t>开始时间</t>
        </is>
      </c>
      <c r="H2" s="33" t="inlineStr">
        <is>
          <t>结束时间</t>
        </is>
      </c>
      <c r="I2" s="33" t="inlineStr">
        <is>
          <t>项目描述</t>
        </is>
      </c>
      <c r="J2" s="33" t="inlineStr">
        <is>
          <t>资源描述</t>
        </is>
      </c>
      <c r="K2" s="84" t="n"/>
      <c r="L2" s="84" t="n"/>
      <c r="M2" s="84" t="n"/>
      <c r="N2" s="85" t="n"/>
      <c r="O2" s="11" t="n"/>
      <c r="P2" s="9" t="n"/>
      <c r="Q2" s="9" t="n"/>
      <c r="S2" s="82" t="n"/>
      <c r="V2" s="83" t="n"/>
    </row>
    <row r="3" ht="41.25" customHeight="1" s="81">
      <c r="E3" s="13" t="n"/>
      <c r="F3" s="14" t="n"/>
      <c r="G3" s="32" t="n"/>
      <c r="H3" s="32" t="n"/>
      <c r="I3" s="32" t="n"/>
      <c r="J3" s="32" t="inlineStr">
        <is>
          <t>资源类型</t>
        </is>
      </c>
      <c r="K3" s="32" t="inlineStr">
        <is>
          <t>资源名称</t>
        </is>
      </c>
      <c r="L3" s="32" t="inlineStr">
        <is>
          <t>资源开始时间</t>
        </is>
      </c>
      <c r="M3" s="32" t="inlineStr">
        <is>
          <t>资源结束时间</t>
        </is>
      </c>
      <c r="N3" s="49" t="inlineStr">
        <is>
          <t>日平均工时投入
（h）</t>
        </is>
      </c>
      <c r="O3" s="9" t="n"/>
      <c r="P3" s="9" t="n"/>
      <c r="Q3" s="9" t="n"/>
      <c r="S3" s="82" t="n"/>
      <c r="V3" s="83" t="n"/>
    </row>
    <row r="4" ht="14.25" customHeight="1" s="81">
      <c r="A4" s="0" t="inlineStr"/>
      <c r="E4" s="86" t="inlineStr">
        <is>
          <t>巴西经营中心</t>
        </is>
      </c>
      <c r="F4" s="79" t="inlineStr">
        <is>
          <t>巴西NB-V3</t>
        </is>
      </c>
      <c r="G4" s="79" t="inlineStr">
        <is>
          <t>/</t>
        </is>
      </c>
      <c r="H4" s="25" t="n">
        <v>46318</v>
      </c>
      <c r="I4" s="25" t="inlineStr">
        <is>
          <t>TR4A-测试阶段</t>
        </is>
      </c>
      <c r="J4" s="19" t="inlineStr">
        <is>
          <t>项目经理</t>
        </is>
      </c>
      <c r="K4" s="17" t="inlineStr">
        <is>
          <t xml:space="preserve"> @项家祺(80004213)(项家祺)</t>
        </is>
      </c>
      <c r="L4" s="17" t="inlineStr">
        <is>
          <t>/</t>
        </is>
      </c>
      <c r="M4" s="20" t="n">
        <v>46318</v>
      </c>
      <c r="N4" s="33" t="n">
        <v>1</v>
      </c>
      <c r="O4" s="3">
        <f>任务计划表!K4</f>
        <v/>
      </c>
      <c r="P4" s="11">
        <f>IF(IF(任务计划表!L4="/",人员资源情况!$A$2,L4)&gt;M4,M4,(IF(任务计划表!L4="/",人员资源情况!$A$2,L4)))</f>
        <v/>
      </c>
      <c r="Q4" s="11">
        <f>IF(M4="/",人员资源情况!$B$2,任务计划表!M4)</f>
        <v/>
      </c>
      <c r="R4" s="9">
        <f>任务计划表!N4</f>
        <v/>
      </c>
      <c r="S4" s="87">
        <f>IF(O4=人员资源情况!C$2,1,0)</f>
        <v/>
      </c>
      <c r="T4" s="87">
        <f>IF(P4&gt;=人员资源情况!A$2,1,0)</f>
        <v/>
      </c>
      <c r="U4" s="87">
        <f>IF(Q4&lt;=人员资源情况!B$2,1,0)</f>
        <v/>
      </c>
      <c r="V4" s="88">
        <f>IF(T4*U4,Q4-P4,IF(T4&gt;U4,人员资源情况!B$2-P4,IF(T4&lt;U4,任务计划表!Q4-人员资源情况!A$2,0)))*R4*S4</f>
        <v/>
      </c>
      <c r="W4" s="9">
        <f>IF(V4&lt;0,0,V4)</f>
        <v/>
      </c>
    </row>
    <row r="5" ht="14.25" customHeight="1" s="81">
      <c r="E5" s="0" t="inlineStr">
        <is>
          <t>巴西经营中心</t>
        </is>
      </c>
      <c r="F5" s="89" t="n"/>
      <c r="G5" s="89" t="n"/>
      <c r="H5" s="89" t="n"/>
      <c r="I5" s="89" t="n"/>
      <c r="J5" s="32" t="inlineStr">
        <is>
          <t>固件设计文档</t>
        </is>
      </c>
      <c r="K5" s="17" t="inlineStr">
        <is>
          <t xml:space="preserve"> @项家祺(80004213)(项家祺)</t>
        </is>
      </c>
      <c r="L5" s="17" t="inlineStr">
        <is>
          <t>/</t>
        </is>
      </c>
      <c r="M5" s="20" t="n">
        <v>46233</v>
      </c>
      <c r="N5" s="33" t="n">
        <v>4</v>
      </c>
      <c r="O5" s="3">
        <f>任务计划表!K5</f>
        <v/>
      </c>
      <c r="P5" s="11">
        <f>IF(IF(任务计划表!L5="/",人员资源情况!$A$2,L5)&gt;M5,M5,(IF(任务计划表!L5="/",人员资源情况!$A$2,L5)))</f>
        <v/>
      </c>
      <c r="Q5" s="11">
        <f>IF(M5="/",人员资源情况!$B$2,任务计划表!M5)</f>
        <v/>
      </c>
      <c r="R5" s="9">
        <f>任务计划表!N5</f>
        <v/>
      </c>
      <c r="S5" s="87">
        <f>IF(O5=人员资源情况!C$2,1,0)</f>
        <v/>
      </c>
      <c r="T5" s="87">
        <f>IF(P5&gt;=人员资源情况!A$2,1,0)</f>
        <v/>
      </c>
      <c r="U5" s="87">
        <f>IF(Q5&lt;=人员资源情况!B$2,1,0)</f>
        <v/>
      </c>
      <c r="V5" s="88">
        <f>IF(T5*U5,Q5-P5,IF(T5&gt;U5,人员资源情况!B$2-P5,IF(T5&lt;U5,任务计划表!Q5-人员资源情况!A$2,0)))*R5*S5</f>
        <v/>
      </c>
      <c r="W5" s="9">
        <f>IF(V5&lt;0,0,V5)</f>
        <v/>
      </c>
    </row>
    <row r="6" ht="14.25" customHeight="1" s="81">
      <c r="E6" s="0" t="inlineStr">
        <is>
          <t>巴西经营中心</t>
        </is>
      </c>
      <c r="F6" s="89" t="n"/>
      <c r="G6" s="89" t="n"/>
      <c r="H6" s="89" t="n"/>
      <c r="I6" s="89" t="n"/>
      <c r="J6" s="19" t="inlineStr">
        <is>
          <t>固件工程师</t>
        </is>
      </c>
      <c r="K6" s="17" t="inlineStr">
        <is>
          <t xml:space="preserve"> @袁琮欣(80015786)(袁琮欣)</t>
        </is>
      </c>
      <c r="L6" s="17" t="inlineStr">
        <is>
          <t>/</t>
        </is>
      </c>
      <c r="M6" s="20" t="n">
        <v>46288</v>
      </c>
      <c r="N6" s="33" t="n">
        <v>8</v>
      </c>
      <c r="O6" s="3">
        <f>任务计划表!K6</f>
        <v/>
      </c>
      <c r="P6" s="11">
        <f>IF(IF(任务计划表!L6="/",人员资源情况!$A$2,L6)&gt;M6,M6,(IF(任务计划表!L6="/",人员资源情况!$A$2,L6)))</f>
        <v/>
      </c>
      <c r="Q6" s="11">
        <f>IF(M6="/",人员资源情况!$B$2,任务计划表!M6)</f>
        <v/>
      </c>
      <c r="R6" s="9">
        <f>任务计划表!N6</f>
        <v/>
      </c>
      <c r="S6" s="87">
        <f>IF(O6=人员资源情况!C$2,1,0)</f>
        <v/>
      </c>
      <c r="T6" s="87">
        <f>IF(P6&gt;=人员资源情况!A$2,1,0)</f>
        <v/>
      </c>
      <c r="U6" s="87">
        <f>IF(Q6&lt;=人员资源情况!B$2,1,0)</f>
        <v/>
      </c>
      <c r="V6" s="88">
        <f>IF(T6*U6,Q6-P6,IF(T6&gt;U6,人员资源情况!B$2-P6,IF(T6&lt;U6,任务计划表!Q6-人员资源情况!A$2,0)))*R6*S6</f>
        <v/>
      </c>
      <c r="W6" s="9">
        <f>IF(V6&lt;0,0,V6)</f>
        <v/>
      </c>
    </row>
    <row r="7" ht="14.25" customHeight="1" s="81">
      <c r="E7" s="0" t="inlineStr">
        <is>
          <t>巴西经营中心</t>
        </is>
      </c>
      <c r="F7" s="89" t="n"/>
      <c r="G7" s="89" t="n"/>
      <c r="H7" s="89" t="n"/>
      <c r="I7" s="89" t="n"/>
      <c r="J7" s="19" t="inlineStr">
        <is>
          <t>固件工程师</t>
        </is>
      </c>
      <c r="K7" s="17" t="inlineStr">
        <is>
          <t xml:space="preserve"> @李昊龙(80016809)</t>
        </is>
      </c>
      <c r="L7" s="17" t="inlineStr">
        <is>
          <t>/</t>
        </is>
      </c>
      <c r="M7" s="20" t="n">
        <v>46288</v>
      </c>
      <c r="N7" s="33" t="n">
        <v>8</v>
      </c>
      <c r="O7" s="3">
        <f>任务计划表!K7</f>
        <v/>
      </c>
      <c r="P7" s="11">
        <f>IF(IF(任务计划表!L7="/",人员资源情况!$A$2,L7)&gt;M7,M7,(IF(任务计划表!L7="/",人员资源情况!$A$2,L7)))</f>
        <v/>
      </c>
      <c r="Q7" s="11">
        <f>IF(M7="/",人员资源情况!$B$2,任务计划表!M7)</f>
        <v/>
      </c>
      <c r="R7" s="9">
        <f>任务计划表!N7</f>
        <v/>
      </c>
      <c r="S7" s="87">
        <f>IF(O7=人员资源情况!C$2,1,0)</f>
        <v/>
      </c>
      <c r="T7" s="87">
        <f>IF(P7&gt;=人员资源情况!A$2,1,0)</f>
        <v/>
      </c>
      <c r="U7" s="87">
        <f>IF(Q7&lt;=人员资源情况!B$2,1,0)</f>
        <v/>
      </c>
      <c r="V7" s="88">
        <f>IF(T7*U7,Q7-P7,IF(T7&gt;U7,人员资源情况!B$2-P7,IF(T7&lt;U7,任务计划表!Q7-人员资源情况!A$2,0)))*R7*S7</f>
        <v/>
      </c>
      <c r="W7" s="9">
        <f>IF(V7&lt;0,0,V7)</f>
        <v/>
      </c>
    </row>
    <row r="8" ht="14.25" customHeight="1" s="81">
      <c r="E8" s="0" t="inlineStr">
        <is>
          <t>巴西经营中心</t>
        </is>
      </c>
      <c r="F8" s="89" t="n"/>
      <c r="G8" s="89" t="n"/>
      <c r="H8" s="89" t="n"/>
      <c r="I8" s="89" t="n"/>
      <c r="J8" s="21" t="inlineStr">
        <is>
          <t>固件工程师-L660测试/BC680</t>
        </is>
      </c>
      <c r="K8" s="17" t="inlineStr">
        <is>
          <t xml:space="preserve"> @袁琮欣(80015786)(袁琮欣)</t>
        </is>
      </c>
      <c r="L8" s="22" t="n">
        <v>46218</v>
      </c>
      <c r="M8" s="20" t="n">
        <v>46221</v>
      </c>
      <c r="N8" s="33" t="n">
        <v>0.5</v>
      </c>
      <c r="O8" s="3">
        <f>任务计划表!K8</f>
        <v/>
      </c>
      <c r="P8" s="11">
        <f>IF(IF(任务计划表!L8="/",人员资源情况!$A$2,L8)&gt;M8,M8,(IF(任务计划表!L8="/",人员资源情况!$A$2,L8)))</f>
        <v/>
      </c>
      <c r="Q8" s="11">
        <f>IF(M8="/",人员资源情况!$B$2,任务计划表!M8)</f>
        <v/>
      </c>
      <c r="R8" s="9">
        <f>任务计划表!N8</f>
        <v/>
      </c>
      <c r="S8" s="87">
        <f>IF(O8=人员资源情况!C$2,1,0)</f>
        <v/>
      </c>
      <c r="T8" s="87">
        <f>IF(P8&gt;=人员资源情况!A$2,1,0)</f>
        <v/>
      </c>
      <c r="U8" s="87">
        <f>IF(Q8&lt;=人员资源情况!B$2,1,0)</f>
        <v/>
      </c>
      <c r="V8" s="88">
        <f>IF(T8*U8,Q8-P8,IF(T8&gt;U8,人员资源情况!B$2-P8,IF(T8&lt;U8,任务计划表!Q8-人员资源情况!A$2,0)))*R8*S8</f>
        <v/>
      </c>
      <c r="W8" s="9">
        <f>IF(V8&lt;0,0,V8)</f>
        <v/>
      </c>
    </row>
    <row r="9" ht="14.25" customHeight="1" s="81">
      <c r="E9" s="0" t="inlineStr">
        <is>
          <t>巴西经营中心</t>
        </is>
      </c>
      <c r="F9" s="90" t="n"/>
      <c r="G9" s="90" t="n"/>
      <c r="H9" s="90" t="n"/>
      <c r="I9" s="90" t="n"/>
      <c r="J9" s="21" t="inlineStr">
        <is>
          <t>硬件工程师-PCB调整</t>
        </is>
      </c>
      <c r="K9" s="17" t="inlineStr">
        <is>
          <t>@童景顺(80004217)(童景顺)</t>
        </is>
      </c>
      <c r="L9" s="23" t="inlineStr">
        <is>
          <t>/</t>
        </is>
      </c>
      <c r="M9" s="33" t="inlineStr">
        <is>
          <t>/</t>
        </is>
      </c>
      <c r="N9" s="33" t="n">
        <v>1</v>
      </c>
      <c r="O9" s="3">
        <f>任务计划表!K9</f>
        <v/>
      </c>
      <c r="P9" s="11">
        <f>IF(IF(任务计划表!L9="/",人员资源情况!$A$2,L9)&gt;M9,M9,(IF(任务计划表!L9="/",人员资源情况!$A$2,L9)))</f>
        <v/>
      </c>
      <c r="Q9" s="11">
        <f>IF(M9="/",人员资源情况!$B$2,任务计划表!M9)</f>
        <v/>
      </c>
      <c r="R9" s="9">
        <f>任务计划表!N9</f>
        <v/>
      </c>
      <c r="S9" s="87">
        <f>IF(O9=人员资源情况!C$2,1,0)</f>
        <v/>
      </c>
      <c r="T9" s="87">
        <f>IF(P9&gt;=人员资源情况!A$2,1,0)</f>
        <v/>
      </c>
      <c r="U9" s="87">
        <f>IF(Q9&lt;=人员资源情况!B$2,1,0)</f>
        <v/>
      </c>
      <c r="V9" s="88">
        <f>IF(T9*U9,Q9-P9,IF(T9&gt;U9,人员资源情况!B$2-P9,IF(T9&lt;U9,任务计划表!Q9-人员资源情况!A$2,0)))*R9*S9</f>
        <v/>
      </c>
      <c r="W9" s="9">
        <f>IF(V9&lt;0,0,V9)</f>
        <v/>
      </c>
    </row>
    <row r="10" ht="14.25" customHeight="1" s="81">
      <c r="E10" s="0" t="inlineStr">
        <is>
          <t>巴西经营中心</t>
        </is>
      </c>
      <c r="F10" s="18" t="inlineStr">
        <is>
          <t>巴西NB-V3.1预研</t>
        </is>
      </c>
      <c r="G10" s="32" t="n"/>
      <c r="H10" s="32" t="n"/>
      <c r="I10" s="32" t="n"/>
      <c r="J10" s="32" t="inlineStr">
        <is>
          <t>固件工程师-三轴传感器预研</t>
        </is>
      </c>
      <c r="K10" s="17" t="inlineStr">
        <is>
          <t xml:space="preserve"> @张国庆(80019159)</t>
        </is>
      </c>
      <c r="L10" s="20" t="n">
        <v>46223</v>
      </c>
      <c r="M10" s="20" t="n">
        <v>46237</v>
      </c>
      <c r="N10" s="33" t="n">
        <v>4</v>
      </c>
      <c r="O10" s="3">
        <f>任务计划表!K10</f>
        <v/>
      </c>
      <c r="P10" s="11">
        <f>IF(IF(任务计划表!L10="/",人员资源情况!$A$2,L10)&gt;M10,M10,(IF(任务计划表!L10="/",人员资源情况!$A$2,L10)))</f>
        <v/>
      </c>
      <c r="Q10" s="11">
        <f>IF(M10="/",人员资源情况!$B$2,任务计划表!M10)</f>
        <v/>
      </c>
      <c r="R10" s="9">
        <f>任务计划表!N10</f>
        <v/>
      </c>
      <c r="S10" s="87">
        <f>IF(O10=人员资源情况!C$2,1,0)</f>
        <v/>
      </c>
      <c r="T10" s="87">
        <f>IF(P10&gt;=人员资源情况!A$2,1,0)</f>
        <v/>
      </c>
      <c r="U10" s="87">
        <f>IF(Q10&lt;=人员资源情况!B$2,1,0)</f>
        <v/>
      </c>
      <c r="V10" s="88">
        <f>IF(T10*U10,Q10-P10,IF(T10&gt;U10,人员资源情况!B$2-P10,IF(T10&lt;U10,任务计划表!Q10-人员资源情况!A$2,0)))*R10*S10</f>
        <v/>
      </c>
      <c r="W10" s="9">
        <f>IF(V10&lt;0,0,V10)</f>
        <v/>
      </c>
    </row>
    <row r="11" ht="14.25" customHeight="1" s="81">
      <c r="E11" s="0" t="inlineStr">
        <is>
          <t>巴西经营中心</t>
        </is>
      </c>
      <c r="F11" s="79" t="inlineStr">
        <is>
          <t>巴西脉冲-V3</t>
        </is>
      </c>
      <c r="G11" s="32" t="n"/>
      <c r="H11" s="32" t="n"/>
      <c r="I11" s="32" t="n"/>
      <c r="J11" s="19" t="inlineStr">
        <is>
          <t>项目经理</t>
        </is>
      </c>
      <c r="K11" s="17" t="inlineStr">
        <is>
          <t xml:space="preserve"> @项家祺(80004213)(项家祺)</t>
        </is>
      </c>
      <c r="L11" s="17" t="inlineStr">
        <is>
          <t>/</t>
        </is>
      </c>
      <c r="M11" s="20" t="n">
        <v>46318</v>
      </c>
      <c r="N11" s="33" t="n">
        <v>1</v>
      </c>
      <c r="O11" s="3">
        <f>任务计划表!K11</f>
        <v/>
      </c>
      <c r="P11" s="11">
        <f>IF(IF(任务计划表!L11="/",人员资源情况!$A$2,L11)&gt;M11,M11,(IF(任务计划表!L11="/",人员资源情况!$A$2,L11)))</f>
        <v/>
      </c>
      <c r="Q11" s="11">
        <f>IF(M11="/",人员资源情况!$B$2,任务计划表!M11)</f>
        <v/>
      </c>
      <c r="R11" s="9">
        <f>任务计划表!N11</f>
        <v/>
      </c>
      <c r="S11" s="87">
        <f>IF(O11=人员资源情况!C$2,1,0)</f>
        <v/>
      </c>
      <c r="T11" s="87">
        <f>IF(P11&gt;=人员资源情况!A$2,1,0)</f>
        <v/>
      </c>
      <c r="U11" s="87">
        <f>IF(Q11&lt;=人员资源情况!B$2,1,0)</f>
        <v/>
      </c>
      <c r="V11" s="88">
        <f>IF(T11*U11,Q11-P11,IF(T11&gt;U11,人员资源情况!B$2-P11,IF(T11&lt;U11,任务计划表!Q11-人员资源情况!A$2,0)))*R11*S11</f>
        <v/>
      </c>
      <c r="W11" s="9">
        <f>IF(V11&lt;0,0,V11)</f>
        <v/>
      </c>
    </row>
    <row r="12" ht="14.25" customHeight="1" s="81">
      <c r="E12" s="0" t="inlineStr">
        <is>
          <t>巴西经营中心</t>
        </is>
      </c>
      <c r="F12" s="0" t="inlineStr">
        <is>
          <t>巴西脉冲-V3</t>
        </is>
      </c>
      <c r="G12" s="32" t="n"/>
      <c r="H12" s="32" t="n"/>
      <c r="I12" s="32" t="n"/>
      <c r="J12" s="32" t="inlineStr">
        <is>
          <t>硬件工程师</t>
        </is>
      </c>
      <c r="K12" s="17" t="inlineStr">
        <is>
          <t>@童景顺(80004217)(童景顺)</t>
        </is>
      </c>
      <c r="L12" s="24" t="n"/>
      <c r="M12" s="20" t="n"/>
      <c r="N12" s="33" t="n">
        <v>7</v>
      </c>
      <c r="O12" s="3">
        <f>任务计划表!K12</f>
        <v/>
      </c>
      <c r="P12" s="11">
        <f>IF(IF(任务计划表!L12="/",人员资源情况!$A$2,L12)&gt;M12,M12,(IF(任务计划表!L12="/",人员资源情况!$A$2,L12)))</f>
        <v/>
      </c>
      <c r="Q12" s="11">
        <f>IF(M12="/",人员资源情况!$B$2,任务计划表!M12)</f>
        <v/>
      </c>
      <c r="R12" s="9">
        <f>任务计划表!N12</f>
        <v/>
      </c>
      <c r="S12" s="87">
        <f>IF(O12=人员资源情况!C$2,1,0)</f>
        <v/>
      </c>
      <c r="T12" s="87">
        <f>IF(P12&gt;=人员资源情况!A$2,1,0)</f>
        <v/>
      </c>
      <c r="U12" s="87">
        <f>IF(Q12&lt;=人员资源情况!B$2,1,0)</f>
        <v/>
      </c>
      <c r="V12" s="88">
        <f>IF(T12*U12,Q12-P12,IF(T12&gt;U12,人员资源情况!B$2-P12,IF(T12&lt;U12,任务计划表!Q12-人员资源情况!A$2,0)))*R12*S12</f>
        <v/>
      </c>
      <c r="W12" s="9">
        <f>IF(V12&lt;0,0,V12)</f>
        <v/>
      </c>
    </row>
    <row r="13" ht="14.25" customHeight="1" s="81">
      <c r="E13" s="0" t="inlineStr">
        <is>
          <t>巴西经营中心</t>
        </is>
      </c>
      <c r="F13" s="0" t="inlineStr">
        <is>
          <t>巴西脉冲-V3</t>
        </is>
      </c>
      <c r="G13" s="32" t="n"/>
      <c r="H13" s="32" t="n"/>
      <c r="I13" s="32" t="n"/>
      <c r="J13" s="32" t="inlineStr">
        <is>
          <t>SE设计</t>
        </is>
      </c>
      <c r="K13" s="17" t="inlineStr">
        <is>
          <t xml:space="preserve"> @项家祺(80004213)(项家祺)</t>
        </is>
      </c>
      <c r="L13" s="17" t="inlineStr">
        <is>
          <t>/</t>
        </is>
      </c>
      <c r="M13" s="20" t="n">
        <v>46233</v>
      </c>
      <c r="N13" s="33" t="n">
        <v>4</v>
      </c>
      <c r="O13" s="3">
        <f>任务计划表!K13</f>
        <v/>
      </c>
      <c r="P13" s="11">
        <f>IF(IF(任务计划表!L13="/",人员资源情况!$A$2,L13)&gt;M13,M13,(IF(任务计划表!L13="/",人员资源情况!$A$2,L13)))</f>
        <v/>
      </c>
      <c r="Q13" s="11">
        <f>IF(M13="/",人员资源情况!$B$2,任务计划表!M13)</f>
        <v/>
      </c>
      <c r="R13" s="9">
        <f>任务计划表!N13</f>
        <v/>
      </c>
      <c r="S13" s="87">
        <f>IF(O13=人员资源情况!C$2,1,0)</f>
        <v/>
      </c>
      <c r="T13" s="87">
        <f>IF(P13&gt;=人员资源情况!A$2,1,0)</f>
        <v/>
      </c>
      <c r="U13" s="87">
        <f>IF(Q13&lt;=人员资源情况!B$2,1,0)</f>
        <v/>
      </c>
      <c r="V13" s="88">
        <f>IF(T13*U13,Q13-P13,IF(T13&gt;U13,人员资源情况!B$2-P13,IF(T13&lt;U13,任务计划表!Q13-人员资源情况!A$2,0)))*R13*S13</f>
        <v/>
      </c>
      <c r="W13" s="9">
        <f>IF(V13&lt;0,0,V13)</f>
        <v/>
      </c>
    </row>
    <row r="14" ht="14.25" customHeight="1" s="81">
      <c r="E14" s="0" t="inlineStr">
        <is>
          <t>巴西经营中心</t>
        </is>
      </c>
      <c r="F14" s="0" t="inlineStr">
        <is>
          <t>巴西脉冲-V3</t>
        </is>
      </c>
      <c r="G14" s="32" t="n"/>
      <c r="H14" s="32" t="n"/>
      <c r="I14" s="32" t="inlineStr"/>
      <c r="J14" s="19" t="inlineStr">
        <is>
          <t>固件工程师-开发</t>
        </is>
      </c>
      <c r="K14" s="17" t="inlineStr">
        <is>
          <t>朱葵阳</t>
        </is>
      </c>
      <c r="L14" s="17" t="inlineStr">
        <is>
          <t>1900-01-01</t>
        </is>
      </c>
      <c r="M14" s="20" t="inlineStr">
        <is>
          <t>2026-07-30</t>
        </is>
      </c>
      <c r="N14" s="33" t="n">
        <v>8</v>
      </c>
      <c r="O14" s="3">
        <f>任务计划表!K14</f>
        <v/>
      </c>
      <c r="P14" s="11">
        <f>IF(IF(任务计划表!L14="/",人员资源情况!$A$2,L14)&gt;M14,M14,(IF(任务计划表!L14="/",人员资源情况!$A$2,L14)))</f>
        <v/>
      </c>
      <c r="Q14" s="11">
        <f>IF(M14="/",人员资源情况!$B$2,任务计划表!M14)</f>
        <v/>
      </c>
      <c r="R14" s="9">
        <f>任务计划表!N14</f>
        <v/>
      </c>
      <c r="S14" s="87">
        <f>IF(O14=人员资源情况!C$2,1,0)</f>
        <v/>
      </c>
      <c r="T14" s="87">
        <f>IF(P14&gt;=人员资源情况!A$2,1,0)</f>
        <v/>
      </c>
      <c r="U14" s="87">
        <f>IF(Q14&lt;=人员资源情况!B$2,1,0)</f>
        <v/>
      </c>
      <c r="V14" s="88">
        <f>IF(T14*U14,Q14-P14,IF(T14&gt;U14,人员资源情况!B$2-P14,IF(T14&lt;U14,任务计划表!Q14-人员资源情况!A$2,0)))*R14*S14</f>
        <v/>
      </c>
      <c r="W14" s="9">
        <f>IF(V14&lt;0,0,V14)</f>
        <v/>
      </c>
      <c r="X14" s="0" t="inlineStr"/>
      <c r="Y14" s="0" t="inlineStr"/>
      <c r="Z14" s="0" t="inlineStr"/>
      <c r="AA14" s="0" t="inlineStr"/>
    </row>
    <row r="15" ht="14.25" customHeight="1" s="81">
      <c r="E15" s="0" t="inlineStr">
        <is>
          <t>巴西经营中心</t>
        </is>
      </c>
      <c r="F15" s="0" t="inlineStr">
        <is>
          <t>巴西脉冲-V3</t>
        </is>
      </c>
      <c r="G15" s="32" t="n"/>
      <c r="H15" s="32" t="n"/>
      <c r="I15" s="32" t="n"/>
      <c r="J15" s="19" t="inlineStr">
        <is>
          <t>固件工程师-认证跟踪</t>
        </is>
      </c>
      <c r="K15" s="17" t="inlineStr">
        <is>
          <t xml:space="preserve"> @朱葵阳(80019092)(朱葵阳)</t>
        </is>
      </c>
      <c r="L15" s="22" t="n">
        <v>46225</v>
      </c>
      <c r="M15" s="20" t="n">
        <v>46288</v>
      </c>
      <c r="N15" s="33" t="n">
        <v>1.5</v>
      </c>
      <c r="O15" s="3">
        <f>任务计划表!K15</f>
        <v/>
      </c>
      <c r="P15" s="11">
        <f>IF(IF(任务计划表!L15="/",人员资源情况!$A$2,L15)&gt;M15,M15,(IF(任务计划表!L15="/",人员资源情况!$A$2,L15)))</f>
        <v/>
      </c>
      <c r="Q15" s="11">
        <f>IF(M15="/",人员资源情况!$B$2,任务计划表!M15)</f>
        <v/>
      </c>
      <c r="R15" s="9">
        <f>任务计划表!N15</f>
        <v/>
      </c>
      <c r="S15" s="87">
        <f>IF(O15=人员资源情况!C$2,1,0)</f>
        <v/>
      </c>
      <c r="T15" s="87">
        <f>IF(P15&gt;=人员资源情况!A$2,1,0)</f>
        <v/>
      </c>
      <c r="U15" s="87">
        <f>IF(Q15&lt;=人员资源情况!B$2,1,0)</f>
        <v/>
      </c>
      <c r="V15" s="88">
        <f>IF(T15*U15,Q15-P15,IF(T15&gt;U15,人员资源情况!B$2-P15,IF(T15&lt;U15,任务计划表!Q15-人员资源情况!A$2,0)))*R15*S15</f>
        <v/>
      </c>
      <c r="W15" s="9">
        <f>IF(V15&lt;0,0,V15)</f>
        <v/>
      </c>
    </row>
    <row r="16" ht="14.25" customHeight="1" s="81">
      <c r="E16" s="0" t="inlineStr">
        <is>
          <t>巴西经营中心</t>
        </is>
      </c>
      <c r="F16" s="0" t="inlineStr">
        <is>
          <t>巴西脉冲-V3</t>
        </is>
      </c>
      <c r="G16" s="32" t="n"/>
      <c r="H16" s="32" t="n"/>
      <c r="I16" s="32" t="n"/>
      <c r="J16" s="21" t="inlineStr">
        <is>
          <t>硬件工程师-PCB调整</t>
        </is>
      </c>
      <c r="K16" s="17" t="inlineStr">
        <is>
          <t>@童景顺(80004217)(童景顺)</t>
        </is>
      </c>
      <c r="L16" s="22" t="n"/>
      <c r="M16" s="20" t="n"/>
      <c r="N16" s="33" t="n"/>
      <c r="O16" s="3">
        <f>任务计划表!K16</f>
        <v/>
      </c>
      <c r="P16" s="11">
        <f>IF(IF(任务计划表!L16="/",人员资源情况!$A$2,L16)&gt;M16,M16,(IF(任务计划表!L16="/",人员资源情况!$A$2,L16)))</f>
        <v/>
      </c>
      <c r="Q16" s="11">
        <f>IF(M16="/",人员资源情况!$B$2,任务计划表!M16)</f>
        <v/>
      </c>
      <c r="R16" s="9">
        <f>任务计划表!N16</f>
        <v/>
      </c>
      <c r="S16" s="87">
        <f>IF(O16=人员资源情况!C$2,1,0)</f>
        <v/>
      </c>
      <c r="T16" s="87">
        <f>IF(P16&gt;=人员资源情况!A$2,1,0)</f>
        <v/>
      </c>
      <c r="U16" s="87">
        <f>IF(Q16&lt;=人员资源情况!B$2,1,0)</f>
        <v/>
      </c>
      <c r="V16" s="88">
        <f>IF(T16*U16,Q16-P16,IF(T16&gt;U16,人员资源情况!B$2-P16,IF(T16&lt;U16,任务计划表!Q16-人员资源情况!A$2,0)))*R16*S16</f>
        <v/>
      </c>
      <c r="W16" s="9">
        <f>IF(V16&lt;0,0,V16)</f>
        <v/>
      </c>
    </row>
    <row r="17" ht="14.25" customHeight="1" s="81">
      <c r="E17" s="0" t="inlineStr">
        <is>
          <t>巴西经营中心</t>
        </is>
      </c>
      <c r="F17" s="79" t="inlineStr">
        <is>
          <t>巴西WMBUS-walkby</t>
        </is>
      </c>
      <c r="G17" s="32" t="n"/>
      <c r="H17" s="32" t="n"/>
      <c r="I17" s="32" t="n"/>
      <c r="J17" s="19" t="inlineStr">
        <is>
          <t>项目经理</t>
        </is>
      </c>
      <c r="K17" s="17" t="inlineStr">
        <is>
          <t xml:space="preserve"> @项家祺(80004213)(项家祺)</t>
        </is>
      </c>
      <c r="L17" s="17" t="inlineStr">
        <is>
          <t>/</t>
        </is>
      </c>
      <c r="M17" s="32" t="inlineStr">
        <is>
          <t>/</t>
        </is>
      </c>
      <c r="N17" s="33" t="n">
        <v>0.5</v>
      </c>
      <c r="O17" s="3">
        <f>任务计划表!K17</f>
        <v/>
      </c>
      <c r="P17" s="11">
        <f>IF(IF(任务计划表!L17="/",人员资源情况!$A$2,L17)&gt;M17,M17,(IF(任务计划表!L17="/",人员资源情况!$A$2,L17)))</f>
        <v/>
      </c>
      <c r="Q17" s="11">
        <f>IF(M17="/",人员资源情况!$B$2,任务计划表!M17)</f>
        <v/>
      </c>
      <c r="R17" s="9">
        <f>任务计划表!N17</f>
        <v/>
      </c>
      <c r="S17" s="87">
        <f>IF(O17=人员资源情况!C$2,1,0)</f>
        <v/>
      </c>
      <c r="T17" s="87">
        <f>IF(P17&gt;=人员资源情况!A$2,1,0)</f>
        <v/>
      </c>
      <c r="U17" s="87">
        <f>IF(Q17&lt;=人员资源情况!B$2,1,0)</f>
        <v/>
      </c>
      <c r="V17" s="88">
        <f>IF(T17*U17,Q17-P17,IF(T17&gt;U17,人员资源情况!B$2-P17,IF(T17&lt;U17,任务计划表!Q17-人员资源情况!A$2,0)))*R17*S17</f>
        <v/>
      </c>
      <c r="W17" s="9">
        <f>IF(V17&lt;0,0,V17)</f>
        <v/>
      </c>
    </row>
    <row r="18" ht="14.25" customHeight="1" s="81">
      <c r="E18" s="0" t="inlineStr">
        <is>
          <t>巴西经营中心</t>
        </is>
      </c>
      <c r="F18" s="89" t="n"/>
      <c r="G18" s="32" t="n"/>
      <c r="H18" s="32" t="n"/>
      <c r="I18" s="32" t="n"/>
      <c r="J18" s="32" t="inlineStr">
        <is>
          <t>SE设计</t>
        </is>
      </c>
      <c r="K18" s="17" t="inlineStr">
        <is>
          <t xml:space="preserve"> @项家祺(80004213)(项家祺)</t>
        </is>
      </c>
      <c r="L18" s="17" t="inlineStr">
        <is>
          <t>/</t>
        </is>
      </c>
      <c r="M18" s="25" t="n">
        <v>46233</v>
      </c>
      <c r="N18" s="33" t="n">
        <v>4</v>
      </c>
      <c r="O18" s="3">
        <f>任务计划表!K18</f>
        <v/>
      </c>
      <c r="P18" s="11">
        <f>IF(IF(任务计划表!L18="/",人员资源情况!$A$2,L18)&gt;M18,M18,(IF(任务计划表!L18="/",人员资源情况!$A$2,L18)))</f>
        <v/>
      </c>
      <c r="Q18" s="11">
        <f>IF(M18="/",人员资源情况!$B$2,任务计划表!M18)</f>
        <v/>
      </c>
      <c r="R18" s="9">
        <f>任务计划表!N18</f>
        <v/>
      </c>
      <c r="S18" s="87">
        <f>IF(O18=人员资源情况!C$2,1,0)</f>
        <v/>
      </c>
      <c r="T18" s="87">
        <f>IF(P18&gt;=人员资源情况!A$2,1,0)</f>
        <v/>
      </c>
      <c r="U18" s="87">
        <f>IF(Q18&lt;=人员资源情况!B$2,1,0)</f>
        <v/>
      </c>
      <c r="V18" s="88">
        <f>IF(T18*U18,Q18-P18,IF(T18&gt;U18,人员资源情况!B$2-P18,IF(T18&lt;U18,任务计划表!Q18-人员资源情况!A$2,0)))*R18*S18</f>
        <v/>
      </c>
      <c r="W18" s="9">
        <f>IF(V18&lt;0,0,V18)</f>
        <v/>
      </c>
    </row>
    <row r="19" ht="14.25" customHeight="1" s="81">
      <c r="E19" s="0" t="inlineStr">
        <is>
          <t>巴西经营中心</t>
        </is>
      </c>
      <c r="F19" s="89" t="n"/>
      <c r="G19" s="32" t="n"/>
      <c r="H19" s="32" t="n"/>
      <c r="I19" s="32" t="n"/>
      <c r="J19" s="19" t="inlineStr">
        <is>
          <t>固件工程师-调试样机</t>
        </is>
      </c>
      <c r="K19" s="17" t="inlineStr">
        <is>
          <t xml:space="preserve"> @毛文豪(80018842)</t>
        </is>
      </c>
      <c r="L19" s="20" t="n">
        <v>46205</v>
      </c>
      <c r="M19" s="20" t="inlineStr">
        <is>
          <t>2026-08-05</t>
        </is>
      </c>
      <c r="N19" s="33" t="n">
        <v>1</v>
      </c>
      <c r="O19" s="3">
        <f>任务计划表!K19</f>
        <v/>
      </c>
      <c r="P19" s="11">
        <f>IF(IF(任务计划表!L19="/",人员资源情况!$A$2,L19)&gt;M19,M19,(IF(任务计划表!L19="/",人员资源情况!$A$2,L19)))</f>
        <v/>
      </c>
      <c r="Q19" s="11">
        <f>IF(M19="/",人员资源情况!$B$2,任务计划表!M19)</f>
        <v/>
      </c>
      <c r="R19" s="9">
        <f>任务计划表!N19</f>
        <v/>
      </c>
      <c r="S19" s="87">
        <f>IF(O19=人员资源情况!C$2,1,0)</f>
        <v/>
      </c>
      <c r="T19" s="87">
        <f>IF(P19&gt;=人员资源情况!A$2,1,0)</f>
        <v/>
      </c>
      <c r="U19" s="87">
        <f>IF(Q19&lt;=人员资源情况!B$2,1,0)</f>
        <v/>
      </c>
      <c r="V19" s="88">
        <f>IF(T19*U19,Q19-P19,IF(T19&gt;U19,人员资源情况!B$2-P19,IF(T19&lt;U19,任务计划表!Q19-人员资源情况!A$2,0)))*R19*S19</f>
        <v/>
      </c>
      <c r="W19" s="9">
        <f>IF(V19&lt;0,0,V19)</f>
        <v/>
      </c>
    </row>
    <row r="20" ht="14.25" customHeight="1" s="81">
      <c r="E20" s="0" t="inlineStr">
        <is>
          <t>巴西经营中心</t>
        </is>
      </c>
      <c r="F20" s="89" t="n"/>
      <c r="G20" s="32" t="n"/>
      <c r="H20" s="32" t="n"/>
      <c r="I20" s="32" t="n"/>
      <c r="J20" s="19" t="inlineStr">
        <is>
          <t>固件工程师-开发设计</t>
        </is>
      </c>
      <c r="K20" s="17" t="inlineStr">
        <is>
          <t xml:space="preserve"> @朱葵阳(80019092)(朱葵阳)</t>
        </is>
      </c>
      <c r="L20" s="20" t="n">
        <v>46220</v>
      </c>
      <c r="M20" s="20" t="n">
        <v>46247</v>
      </c>
      <c r="N20" s="33" t="n">
        <v>6</v>
      </c>
      <c r="O20" s="3">
        <f>任务计划表!K20</f>
        <v/>
      </c>
      <c r="P20" s="11">
        <f>IF(IF(任务计划表!L20="/",人员资源情况!$A$2,L20)&gt;M20,M20,(IF(任务计划表!L20="/",人员资源情况!$A$2,L20)))</f>
        <v/>
      </c>
      <c r="Q20" s="11">
        <f>IF(M20="/",人员资源情况!$B$2,任务计划表!M20)</f>
        <v/>
      </c>
      <c r="R20" s="9">
        <f>任务计划表!N20</f>
        <v/>
      </c>
      <c r="S20" s="87">
        <f>IF(O20=人员资源情况!C$2,1,0)</f>
        <v/>
      </c>
      <c r="T20" s="87">
        <f>IF(P20&gt;=人员资源情况!A$2,1,0)</f>
        <v/>
      </c>
      <c r="U20" s="87">
        <f>IF(Q20&lt;=人员资源情况!B$2,1,0)</f>
        <v/>
      </c>
      <c r="V20" s="88">
        <f>IF(T20*U20,Q20-P20,IF(T20&gt;U20,人员资源情况!B$2-P20,IF(T20&lt;U20,任务计划表!Q20-人员资源情况!A$2,0)))*R20*S20</f>
        <v/>
      </c>
      <c r="W20" s="9">
        <f>IF(V20&lt;0,0,V20)</f>
        <v/>
      </c>
    </row>
    <row r="21" ht="14.25" customHeight="1" s="81">
      <c r="B21" s="0" t="inlineStr">
        <is>
          <t>已删除</t>
        </is>
      </c>
      <c r="E21" s="0" t="inlineStr">
        <is>
          <t>巴西经营中心</t>
        </is>
      </c>
      <c r="F21" s="89" t="n"/>
      <c r="G21" s="32" t="n"/>
      <c r="H21" s="32" t="n"/>
      <c r="I21" s="32" t="n"/>
      <c r="J21" s="19" t="inlineStr">
        <is>
          <t>固件工程师-开发设计</t>
        </is>
      </c>
      <c r="K21" s="17" t="inlineStr">
        <is>
          <t xml:space="preserve"> @毛文豪(80018842)</t>
        </is>
      </c>
      <c r="L21" s="20" t="n">
        <v>46230</v>
      </c>
      <c r="M21" s="20" t="n">
        <v>46249</v>
      </c>
      <c r="N21" s="33" t="n">
        <v>6</v>
      </c>
      <c r="O21" s="3">
        <f>任务计划表!K21</f>
        <v/>
      </c>
      <c r="P21" s="11">
        <f>IF(IF(任务计划表!L21="/",人员资源情况!$A$2,L21)&gt;M21,M21,(IF(任务计划表!L21="/",人员资源情况!$A$2,L21)))</f>
        <v/>
      </c>
      <c r="Q21" s="11">
        <f>IF(M21="/",人员资源情况!$B$2,任务计划表!M21)</f>
        <v/>
      </c>
      <c r="R21" s="9">
        <f>任务计划表!N21</f>
        <v/>
      </c>
      <c r="S21" s="87">
        <f>IF(O21=人员资源情况!C$2,1,0)</f>
        <v/>
      </c>
      <c r="T21" s="87">
        <f>IF(P21&gt;=人员资源情况!A$2,1,0)</f>
        <v/>
      </c>
      <c r="U21" s="87">
        <f>IF(Q21&lt;=人员资源情况!B$2,1,0)</f>
        <v/>
      </c>
      <c r="V21" s="88">
        <f>IF(T21*U21,Q21-P21,IF(T21&gt;U21,人员资源情况!B$2-P21,IF(T21&lt;U21,任务计划表!Q21-人员资源情况!A$2,0)))*R21*S21</f>
        <v/>
      </c>
      <c r="W21" s="9">
        <f>IF(V21&lt;0,0,V21)</f>
        <v/>
      </c>
    </row>
    <row r="22" ht="14.25" customHeight="1" s="81">
      <c r="E22" s="0" t="inlineStr">
        <is>
          <t>巴西经营中心</t>
        </is>
      </c>
      <c r="F22" s="89" t="n"/>
      <c r="G22" s="32" t="n"/>
      <c r="H22" s="32" t="n"/>
      <c r="I22" s="32" t="n"/>
      <c r="J22" s="21" t="inlineStr">
        <is>
          <t>硬件工程师-PCB调整</t>
        </is>
      </c>
      <c r="K22" s="17" t="inlineStr">
        <is>
          <t>@童景顺(80004217)(童景顺)</t>
        </is>
      </c>
      <c r="L22" s="24" t="n"/>
      <c r="M22" s="24" t="n"/>
      <c r="N22" s="33" t="n">
        <v>7</v>
      </c>
      <c r="O22" s="3">
        <f>任务计划表!K22</f>
        <v/>
      </c>
      <c r="P22" s="11">
        <f>IF(IF(任务计划表!L22="/",人员资源情况!$A$2,L22)&gt;M22,M22,(IF(任务计划表!L22="/",人员资源情况!$A$2,L22)))</f>
        <v/>
      </c>
      <c r="Q22" s="11">
        <f>IF(M22="/",人员资源情况!$B$2,任务计划表!M22)</f>
        <v/>
      </c>
      <c r="R22" s="9">
        <f>任务计划表!N22</f>
        <v/>
      </c>
      <c r="S22" s="87">
        <f>IF(O22=人员资源情况!C$2,1,0)</f>
        <v/>
      </c>
      <c r="T22" s="87">
        <f>IF(P22&gt;=人员资源情况!A$2,1,0)</f>
        <v/>
      </c>
      <c r="U22" s="87">
        <f>IF(Q22&lt;=人员资源情况!B$2,1,0)</f>
        <v/>
      </c>
      <c r="V22" s="88">
        <f>IF(T22*U22,Q22-P22,IF(T22&gt;U22,人员资源情况!B$2-P22,IF(T22&lt;U22,任务计划表!Q22-人员资源情况!A$2,0)))*R22*S22</f>
        <v/>
      </c>
      <c r="W22" s="9">
        <f>IF(V22&lt;0,0,V22)</f>
        <v/>
      </c>
    </row>
    <row r="23" ht="14.25" customHeight="1" s="81">
      <c r="E23" s="0" t="inlineStr">
        <is>
          <t>巴西经营中心</t>
        </is>
      </c>
      <c r="F23" s="89" t="n"/>
      <c r="G23" s="32" t="n"/>
      <c r="H23" s="32" t="n"/>
      <c r="I23" s="32" t="n"/>
      <c r="J23" s="19" t="inlineStr">
        <is>
          <t>固件工程师-测试跟踪</t>
        </is>
      </c>
      <c r="K23" s="17" t="inlineStr">
        <is>
          <t xml:space="preserve"> @朱葵阳(80019092)(朱葵阳)</t>
        </is>
      </c>
      <c r="L23" s="20" t="n">
        <v>46249</v>
      </c>
      <c r="M23" s="20" t="n">
        <v>46300</v>
      </c>
      <c r="N23" s="33" t="n">
        <v>2</v>
      </c>
      <c r="O23" s="3">
        <f>任务计划表!K23</f>
        <v/>
      </c>
      <c r="P23" s="11">
        <f>IF(IF(任务计划表!L23="/",人员资源情况!$A$2,L23)&gt;M23,M23,(IF(任务计划表!L23="/",人员资源情况!$A$2,L23)))</f>
        <v/>
      </c>
      <c r="Q23" s="11">
        <f>IF(M23="/",人员资源情况!$B$2,任务计划表!M23)</f>
        <v/>
      </c>
      <c r="R23" s="9">
        <f>任务计划表!N23</f>
        <v/>
      </c>
      <c r="S23" s="87">
        <f>IF(O23=人员资源情况!C$2,1,0)</f>
        <v/>
      </c>
      <c r="T23" s="87">
        <f>IF(P23&gt;=人员资源情况!A$2,1,0)</f>
        <v/>
      </c>
      <c r="U23" s="87">
        <f>IF(Q23&lt;=人员资源情况!B$2,1,0)</f>
        <v/>
      </c>
      <c r="V23" s="88">
        <f>IF(T23*U23,Q23-P23,IF(T23&gt;U23,人员资源情况!B$2-P23,IF(T23&lt;U23,任务计划表!Q23-人员资源情况!A$2,0)))*R23*S23</f>
        <v/>
      </c>
      <c r="W23" s="9">
        <f>IF(V23&lt;0,0,V23)</f>
        <v/>
      </c>
    </row>
    <row r="24" ht="14.25" customHeight="1" s="81">
      <c r="E24" s="0" t="inlineStr">
        <is>
          <t>巴西经营中心</t>
        </is>
      </c>
      <c r="F24" s="90" t="n"/>
      <c r="G24" s="32" t="n"/>
      <c r="H24" s="32" t="n"/>
      <c r="I24" s="32" t="n"/>
      <c r="J24" s="19" t="inlineStr">
        <is>
          <t>固件工程师-认证跟踪</t>
        </is>
      </c>
      <c r="K24" s="17" t="inlineStr">
        <is>
          <t xml:space="preserve"> @朱葵阳(80019092)(朱葵阳)</t>
        </is>
      </c>
      <c r="L24" s="20" t="n">
        <v>46300</v>
      </c>
      <c r="M24" s="20" t="n">
        <v>46360</v>
      </c>
      <c r="N24" s="33" t="n">
        <v>1</v>
      </c>
      <c r="O24" s="3">
        <f>任务计划表!K24</f>
        <v/>
      </c>
      <c r="P24" s="11">
        <f>IF(IF(任务计划表!L24="/",人员资源情况!$A$2,L24)&gt;M24,M24,(IF(任务计划表!L24="/",人员资源情况!$A$2,L24)))</f>
        <v/>
      </c>
      <c r="Q24" s="11">
        <f>IF(M24="/",人员资源情况!$B$2,任务计划表!M24)</f>
        <v/>
      </c>
      <c r="R24" s="9">
        <f>任务计划表!N24</f>
        <v/>
      </c>
      <c r="S24" s="87">
        <f>IF(O24=人员资源情况!C$2,1,0)</f>
        <v/>
      </c>
      <c r="T24" s="87">
        <f>IF(P24&gt;=人员资源情况!A$2,1,0)</f>
        <v/>
      </c>
      <c r="U24" s="87">
        <f>IF(Q24&lt;=人员资源情况!B$2,1,0)</f>
        <v/>
      </c>
      <c r="V24" s="88">
        <f>IF(T24*U24,Q24-P24,IF(T24&gt;U24,人员资源情况!B$2-P24,IF(T24&lt;U24,任务计划表!Q24-人员资源情况!A$2,0)))*R24*S24</f>
        <v/>
      </c>
      <c r="W24" s="9">
        <f>IF(V24&lt;0,0,V24)</f>
        <v/>
      </c>
    </row>
    <row r="25" ht="24.4" customHeight="1" s="81">
      <c r="A25" s="0" t="inlineStr">
        <is>
          <t>已归档</t>
        </is>
      </c>
      <c r="E25" s="0" t="inlineStr">
        <is>
          <t>巴西经营中心</t>
        </is>
      </c>
      <c r="F25" s="62" t="inlineStr">
        <is>
          <t>巴西LoRa-Walkby方案</t>
        </is>
      </c>
      <c r="G25" s="32" t="n"/>
      <c r="H25" s="32" t="n"/>
      <c r="I25" s="33" t="inlineStr">
        <is>
          <t>TAG26帧修改</t>
        </is>
      </c>
      <c r="J25" s="19" t="inlineStr">
        <is>
          <t>固件工程师</t>
        </is>
      </c>
      <c r="K25" s="17" t="inlineStr">
        <is>
          <t xml:space="preserve"> @答金雨(80016793)</t>
        </is>
      </c>
      <c r="L25" s="20" t="n">
        <v>46206</v>
      </c>
      <c r="M25" s="20" t="inlineStr">
        <is>
          <t>2026-07-30</t>
        </is>
      </c>
      <c r="N25" s="33" t="n">
        <v>2</v>
      </c>
      <c r="O25" s="3">
        <f>任务计划表!K25</f>
        <v/>
      </c>
      <c r="P25" s="11">
        <f>IF(IF(任务计划表!L25="/",人员资源情况!$A$2,L25)&gt;M25,M25,(IF(任务计划表!L25="/",人员资源情况!$A$2,L25)))</f>
        <v/>
      </c>
      <c r="Q25" s="11">
        <f>IF(M25="/",人员资源情况!$B$2,任务计划表!M25)</f>
        <v/>
      </c>
      <c r="R25" s="9">
        <f>任务计划表!N25</f>
        <v/>
      </c>
      <c r="S25" s="87">
        <f>IF(O25=人员资源情况!C$2,1,0)</f>
        <v/>
      </c>
      <c r="T25" s="87">
        <f>IF(P25&gt;=人员资源情况!A$2,1,0)</f>
        <v/>
      </c>
      <c r="U25" s="87">
        <f>IF(Q25&lt;=人员资源情况!B$2,1,0)</f>
        <v/>
      </c>
      <c r="V25" s="88">
        <f>IF(T25*U25,Q25-P25,IF(T25&gt;U25,人员资源情况!B$2-P25,IF(T25&lt;U25,任务计划表!Q25-人员资源情况!A$2,0)))*R25*S25</f>
        <v/>
      </c>
      <c r="W25" s="9">
        <f>IF(V25&lt;0,0,V25)</f>
        <v/>
      </c>
      <c r="X25" s="0" t="inlineStr"/>
      <c r="Y25" s="0" t="inlineStr"/>
      <c r="Z25" s="0" t="inlineStr"/>
      <c r="AA25" s="0" t="inlineStr"/>
    </row>
    <row r="26" ht="54.75" customHeight="1" s="81">
      <c r="A26" s="0" t="inlineStr">
        <is>
          <t>已归档</t>
        </is>
      </c>
      <c r="E26" s="51" t="inlineStr">
        <is>
          <t>拉美</t>
        </is>
      </c>
      <c r="F26" s="62" t="inlineStr">
        <is>
          <t>智利-NB</t>
        </is>
      </c>
      <c r="G26" s="32" t="n"/>
      <c r="H26" s="32" t="n"/>
      <c r="I26" s="50" t="inlineStr">
        <is>
          <t>特殊-联调阶段
7月2日-系统IP申请问题，未完成联调
7月8日-预约二次联调</t>
        </is>
      </c>
      <c r="J26" s="19" t="inlineStr">
        <is>
          <t>固件工程师</t>
        </is>
      </c>
      <c r="K26" s="17" t="inlineStr">
        <is>
          <t xml:space="preserve"> @答金雨(80016793)</t>
        </is>
      </c>
      <c r="L26" s="17" t="inlineStr">
        <is>
          <t>/</t>
        </is>
      </c>
      <c r="M26" s="19" t="n">
        <v>46227</v>
      </c>
      <c r="N26" s="79" t="n">
        <v>3</v>
      </c>
      <c r="O26" s="3">
        <f>任务计划表!K26</f>
        <v/>
      </c>
      <c r="P26" s="11">
        <f>IF(IF(任务计划表!L26="/",人员资源情况!$A$2,L26)&gt;M26,M26,(IF(任务计划表!L26="/",人员资源情况!$A$2,L26)))</f>
        <v/>
      </c>
      <c r="Q26" s="11">
        <f>IF(M26="/",人员资源情况!$B$2,任务计划表!M26)</f>
        <v/>
      </c>
      <c r="R26" s="9">
        <f>任务计划表!N26</f>
        <v/>
      </c>
      <c r="S26" s="87">
        <f>IF(O26=人员资源情况!C$2,1,0)</f>
        <v/>
      </c>
      <c r="T26" s="87">
        <f>IF(P26&gt;=人员资源情况!A$2,1,0)</f>
        <v/>
      </c>
      <c r="U26" s="87">
        <f>IF(Q26&lt;=人员资源情况!B$2,1,0)</f>
        <v/>
      </c>
      <c r="V26" s="88">
        <f>IF(T26*U26,Q26-P26,IF(T26&gt;U26,人员资源情况!B$2-P26,IF(T26&lt;U26,任务计划表!Q26-人员资源情况!A$2,0)))*R26*S26</f>
        <v/>
      </c>
      <c r="W26" s="9">
        <f>IF(V26&lt;0,0,V26)</f>
        <v/>
      </c>
    </row>
    <row r="27" ht="14.25" customHeight="1" s="81">
      <c r="E27" s="89" t="n"/>
      <c r="F27" s="62" t="inlineStr">
        <is>
          <t>秘鲁-CAT1</t>
        </is>
      </c>
      <c r="G27" s="32" t="n"/>
      <c r="H27" s="32" t="n"/>
      <c r="I27" s="54" t="inlineStr">
        <is>
          <t>TR4A-测试阶段</t>
        </is>
      </c>
      <c r="J27" s="19" t="inlineStr">
        <is>
          <t>固件工程师</t>
        </is>
      </c>
      <c r="K27" s="17" t="inlineStr">
        <is>
          <t xml:space="preserve"> @答金雨(80016793)</t>
        </is>
      </c>
      <c r="L27" s="17" t="inlineStr">
        <is>
          <t>/</t>
        </is>
      </c>
      <c r="M27" s="19" t="n">
        <v>46223</v>
      </c>
      <c r="N27" s="79" t="n">
        <v>6</v>
      </c>
      <c r="O27" s="3">
        <f>任务计划表!K27</f>
        <v/>
      </c>
      <c r="P27" s="11">
        <f>IF(IF(任务计划表!L27="/",人员资源情况!$A$2,L27)&gt;M27,M27,(IF(任务计划表!L27="/",人员资源情况!$A$2,L27)))</f>
        <v/>
      </c>
      <c r="Q27" s="11">
        <f>IF(M27="/",人员资源情况!$B$2,任务计划表!M27)</f>
        <v/>
      </c>
      <c r="R27" s="9">
        <f>任务计划表!N27</f>
        <v/>
      </c>
      <c r="S27" s="87">
        <f>IF(O27=人员资源情况!C$2,1,0)</f>
        <v/>
      </c>
      <c r="T27" s="87">
        <f>IF(P27&gt;=人员资源情况!A$2,1,0)</f>
        <v/>
      </c>
      <c r="U27" s="87">
        <f>IF(Q27&lt;=人员资源情况!B$2,1,0)</f>
        <v/>
      </c>
      <c r="V27" s="88">
        <f>IF(T27*U27,Q27-P27,IF(T27&gt;U27,人员资源情况!B$2-P27,IF(T27&lt;U27,任务计划表!Q27-人员资源情况!A$2,0)))*R27*S27</f>
        <v/>
      </c>
      <c r="W27" s="9">
        <f>IF(V27&lt;0,0,V27)</f>
        <v/>
      </c>
    </row>
    <row r="28" ht="14.25" customHeight="1" s="81">
      <c r="E28" s="89" t="n"/>
      <c r="F28" s="79" t="inlineStr">
        <is>
          <t>墨西哥MIAA</t>
        </is>
      </c>
      <c r="G28" s="32" t="n"/>
      <c r="H28" s="48" t="n"/>
      <c r="I28" s="33" t="inlineStr">
        <is>
          <t>TR4A-测试阶段</t>
        </is>
      </c>
      <c r="J28" s="14" t="inlineStr">
        <is>
          <t>项目经理</t>
        </is>
      </c>
      <c r="K28" s="17" t="inlineStr">
        <is>
          <t xml:space="preserve"> @危才文(80018808)</t>
        </is>
      </c>
      <c r="L28" s="32" t="inlineStr">
        <is>
          <t>/</t>
        </is>
      </c>
      <c r="M28" s="19" t="n">
        <v>46275</v>
      </c>
      <c r="N28" s="79" t="n">
        <v>0.5</v>
      </c>
      <c r="O28" s="3">
        <f>任务计划表!K28</f>
        <v/>
      </c>
      <c r="P28" s="11">
        <f>IF(IF(任务计划表!L28="/",人员资源情况!$A$2,L28)&gt;M28,M28,(IF(任务计划表!L28="/",人员资源情况!$A$2,L28)))</f>
        <v/>
      </c>
      <c r="Q28" s="11">
        <f>IF(M28="/",人员资源情况!$B$2,任务计划表!M28)</f>
        <v/>
      </c>
      <c r="R28" s="9">
        <f>任务计划表!N28</f>
        <v/>
      </c>
      <c r="S28" s="87">
        <f>IF(O28=人员资源情况!C$2,1,0)</f>
        <v/>
      </c>
      <c r="T28" s="87">
        <f>IF(P28&gt;=人员资源情况!A$2,1,0)</f>
        <v/>
      </c>
      <c r="U28" s="87">
        <f>IF(Q28&lt;=人员资源情况!B$2,1,0)</f>
        <v/>
      </c>
      <c r="V28" s="88">
        <f>IF(T28*U28,Q28-P28,IF(T28&gt;U28,人员资源情况!B$2-P28,IF(T28&lt;U28,任务计划表!Q28-人员资源情况!A$2,0)))*R28*S28</f>
        <v/>
      </c>
      <c r="W28" s="9">
        <f>IF(V28&lt;0,0,V28)</f>
        <v/>
      </c>
    </row>
    <row r="29" ht="14.25" customHeight="1" s="81">
      <c r="E29" s="89" t="n"/>
      <c r="F29" s="90" t="n"/>
      <c r="G29" s="32" t="n"/>
      <c r="H29" s="32" t="n"/>
      <c r="I29" s="54" t="inlineStr">
        <is>
          <t>TR4A-测试阶段</t>
        </is>
      </c>
      <c r="J29" s="19" t="inlineStr">
        <is>
          <t>固件工程师-测试</t>
        </is>
      </c>
      <c r="K29" s="17" t="inlineStr">
        <is>
          <t xml:space="preserve"> @危才文(80018808)</t>
        </is>
      </c>
      <c r="L29" s="32" t="inlineStr">
        <is>
          <t>/</t>
        </is>
      </c>
      <c r="M29" s="19" t="n">
        <v>46225</v>
      </c>
      <c r="N29" s="79" t="n">
        <v>4</v>
      </c>
      <c r="O29" s="3">
        <f>任务计划表!K29</f>
        <v/>
      </c>
      <c r="P29" s="11">
        <f>IF(IF(任务计划表!L29="/",人员资源情况!$A$2,L29)&gt;M29,M29,(IF(任务计划表!L29="/",人员资源情况!$A$2,L29)))</f>
        <v/>
      </c>
      <c r="Q29" s="11">
        <f>IF(M29="/",人员资源情况!$B$2,任务计划表!M29)</f>
        <v/>
      </c>
      <c r="R29" s="9">
        <f>任务计划表!N29</f>
        <v/>
      </c>
      <c r="S29" s="87">
        <f>IF(O29=人员资源情况!C$2,1,0)</f>
        <v/>
      </c>
      <c r="T29" s="87">
        <f>IF(P29&gt;=人员资源情况!A$2,1,0)</f>
        <v/>
      </c>
      <c r="U29" s="87">
        <f>IF(Q29&lt;=人员资源情况!B$2,1,0)</f>
        <v/>
      </c>
      <c r="V29" s="88">
        <f>IF(T29*U29,Q29-P29,IF(T29&gt;U29,人员资源情况!B$2-P29,IF(T29&lt;U29,任务计划表!Q29-人员资源情况!A$2,0)))*R29*S29</f>
        <v/>
      </c>
      <c r="W29" s="9">
        <f>IF(V29&lt;0,0,V29)</f>
        <v/>
      </c>
    </row>
    <row r="30" ht="14.25" customHeight="1" s="81">
      <c r="E30" s="89" t="n"/>
      <c r="F30" s="31" t="inlineStr">
        <is>
          <t>多米尼加-补货</t>
        </is>
      </c>
      <c r="G30" s="32" t="n"/>
      <c r="H30" s="32" t="n"/>
      <c r="I30" s="33" t="inlineStr">
        <is>
          <t>补充验证</t>
        </is>
      </c>
      <c r="J30" s="27" t="inlineStr">
        <is>
          <t>硬件工程师</t>
        </is>
      </c>
      <c r="K30" s="28" t="inlineStr">
        <is>
          <t xml:space="preserve"> @舒杰(80018942)</t>
        </is>
      </c>
      <c r="L30" s="32" t="inlineStr">
        <is>
          <t>/</t>
        </is>
      </c>
      <c r="M30" s="19" t="n">
        <v>46234</v>
      </c>
      <c r="N30" s="79" t="n">
        <v>6</v>
      </c>
      <c r="O30" s="3">
        <f>任务计划表!K30</f>
        <v/>
      </c>
      <c r="P30" s="11">
        <f>IF(IF(任务计划表!L30="/",人员资源情况!$A$2,L30)&gt;M30,M30,(IF(任务计划表!L30="/",人员资源情况!$A$2,L30)))</f>
        <v/>
      </c>
      <c r="Q30" s="11">
        <f>IF(M30="/",人员资源情况!$B$2,任务计划表!M30)</f>
        <v/>
      </c>
      <c r="R30" s="9">
        <f>任务计划表!N30</f>
        <v/>
      </c>
      <c r="S30" s="87">
        <f>IF(O30=人员资源情况!C$2,1,0)</f>
        <v/>
      </c>
      <c r="T30" s="87">
        <f>IF(P30&gt;=人员资源情况!A$2,1,0)</f>
        <v/>
      </c>
      <c r="U30" s="87">
        <f>IF(Q30&lt;=人员资源情况!B$2,1,0)</f>
        <v/>
      </c>
      <c r="V30" s="88">
        <f>IF(T30*U30,Q30-P30,IF(T30&gt;U30,人员资源情况!B$2-P30,IF(T30&lt;U30,任务计划表!Q30-人员资源情况!A$2,0)))*R30*S30</f>
        <v/>
      </c>
      <c r="W30" s="9">
        <f>IF(V30&lt;0,0,V30)</f>
        <v/>
      </c>
    </row>
    <row r="31" ht="14.25" customHeight="1" s="81">
      <c r="E31" s="89" t="n"/>
      <c r="F31" s="79" t="inlineStr">
        <is>
          <t>哥伦比亚相关</t>
        </is>
      </c>
      <c r="G31" s="14" t="n"/>
      <c r="H31" s="32" t="n"/>
      <c r="I31" s="60" t="inlineStr">
        <is>
          <t>哥伦比亚EVB项目复测</t>
        </is>
      </c>
      <c r="J31" s="19" t="inlineStr">
        <is>
          <t>固件工程师</t>
        </is>
      </c>
      <c r="K31" s="17" t="inlineStr">
        <is>
          <t xml:space="preserve"> @毛文豪(80018842)</t>
        </is>
      </c>
      <c r="L31" s="29" t="n">
        <v>46230</v>
      </c>
      <c r="M31" s="19" t="n">
        <v>46239</v>
      </c>
      <c r="N31" s="79" t="n">
        <v>1</v>
      </c>
      <c r="O31" s="3">
        <f>任务计划表!K31</f>
        <v/>
      </c>
      <c r="P31" s="11">
        <f>IF(IF(任务计划表!L31="/",人员资源情况!$A$2,L31)&gt;M31,M31,(IF(任务计划表!L31="/",人员资源情况!$A$2,L31)))</f>
        <v/>
      </c>
      <c r="Q31" s="11">
        <f>IF(M31="/",人员资源情况!$B$2,任务计划表!M31)</f>
        <v/>
      </c>
      <c r="R31" s="9">
        <f>任务计划表!N31</f>
        <v/>
      </c>
      <c r="S31" s="87">
        <f>IF(O31=人员资源情况!C$2,1,0)</f>
        <v/>
      </c>
      <c r="T31" s="87">
        <f>IF(P31&gt;=人员资源情况!A$2,1,0)</f>
        <v/>
      </c>
      <c r="U31" s="87">
        <f>IF(Q31&lt;=人员资源情况!B$2,1,0)</f>
        <v/>
      </c>
      <c r="V31" s="88">
        <f>IF(T31*U31,Q31-P31,IF(T31&gt;U31,人员资源情况!B$2-P31,IF(T31&lt;U31,任务计划表!Q31-人员资源情况!A$2,0)))*R31*S31</f>
        <v/>
      </c>
      <c r="W31" s="9">
        <f>IF(V31&lt;0,0,V31)</f>
        <v/>
      </c>
    </row>
    <row r="32" ht="14.25" customHeight="1" s="81">
      <c r="A32" s="0" t="inlineStr">
        <is>
          <t>已归档</t>
        </is>
      </c>
      <c r="E32" s="89" t="n"/>
      <c r="F32" s="90" t="n"/>
      <c r="G32" s="14" t="n"/>
      <c r="H32" s="32" t="n"/>
      <c r="I32" s="33" t="inlineStr">
        <is>
          <t>DN40-LoRaWAN测试</t>
        </is>
      </c>
      <c r="J32" s="19" t="inlineStr">
        <is>
          <t>固件工程师</t>
        </is>
      </c>
      <c r="K32" s="17" t="inlineStr">
        <is>
          <t xml:space="preserve"> @毛文豪(80018842)</t>
        </is>
      </c>
      <c r="L32" s="29" t="n">
        <v>46220</v>
      </c>
      <c r="M32" s="19" t="n">
        <v>46223</v>
      </c>
      <c r="N32" s="79" t="n">
        <v>0.8</v>
      </c>
      <c r="O32" s="3">
        <f>任务计划表!K32</f>
        <v/>
      </c>
      <c r="P32" s="11">
        <f>IF(IF(任务计划表!L32="/",人员资源情况!$A$2,L32)&gt;M32,M32,(IF(任务计划表!L32="/",人员资源情况!$A$2,L32)))</f>
        <v/>
      </c>
      <c r="Q32" s="11">
        <f>IF(M32="/",人员资源情况!$B$2,任务计划表!M32)</f>
        <v/>
      </c>
      <c r="R32" s="9">
        <f>任务计划表!N32</f>
        <v/>
      </c>
      <c r="S32" s="87">
        <f>IF(O32=人员资源情况!C$2,1,0)</f>
        <v/>
      </c>
      <c r="T32" s="87">
        <f>IF(P32&gt;=人员资源情况!A$2,1,0)</f>
        <v/>
      </c>
      <c r="U32" s="87">
        <f>IF(Q32&lt;=人员资源情况!B$2,1,0)</f>
        <v/>
      </c>
      <c r="V32" s="88">
        <f>IF(T32*U32,Q32-P32,IF(T32&gt;U32,人员资源情况!B$2-P32,IF(T32&lt;U32,任务计划表!Q32-人员资源情况!A$2,0)))*R32*S32</f>
        <v/>
      </c>
      <c r="W32" s="9">
        <f>IF(V32&lt;0,0,V32)</f>
        <v/>
      </c>
      <c r="X32" s="0" t="inlineStr"/>
      <c r="Y32" s="0" t="inlineStr"/>
      <c r="Z32" s="0" t="inlineStr"/>
      <c r="AA32" s="0" t="inlineStr"/>
    </row>
    <row r="33" ht="14.25" customHeight="1" s="81">
      <c r="E33" s="51" t="inlineStr">
        <is>
          <t>欧洲</t>
        </is>
      </c>
      <c r="F33" s="62" t="inlineStr">
        <is>
          <t>WMBUS-OMS</t>
        </is>
      </c>
      <c r="G33" s="32" t="n"/>
      <c r="H33" s="32" t="n"/>
      <c r="I33" s="54" t="inlineStr">
        <is>
          <t>TR4-设计开发阶段</t>
        </is>
      </c>
      <c r="J33" s="19" t="inlineStr">
        <is>
          <t>固件工程师</t>
        </is>
      </c>
      <c r="K33" s="17" t="inlineStr">
        <is>
          <t xml:space="preserve"> @危才文(80018808)</t>
        </is>
      </c>
      <c r="L33" s="32" t="inlineStr">
        <is>
          <t>/</t>
        </is>
      </c>
      <c r="M33" s="19" t="n">
        <v>46211</v>
      </c>
      <c r="N33" s="79" t="n">
        <v>6</v>
      </c>
      <c r="O33" s="3">
        <f>任务计划表!K33</f>
        <v/>
      </c>
      <c r="P33" s="11">
        <f>IF(IF(任务计划表!L33="/",人员资源情况!$A$2,L33)&gt;M33,M33,(IF(任务计划表!L33="/",人员资源情况!$A$2,L33)))</f>
        <v/>
      </c>
      <c r="Q33" s="11">
        <f>IF(M33="/",人员资源情况!$B$2,任务计划表!M33)</f>
        <v/>
      </c>
      <c r="R33" s="9">
        <f>任务计划表!N33</f>
        <v/>
      </c>
      <c r="S33" s="87">
        <f>IF(O33=人员资源情况!C$2,1,0)</f>
        <v/>
      </c>
      <c r="T33" s="87">
        <f>IF(P33&gt;=人员资源情况!A$2,1,0)</f>
        <v/>
      </c>
      <c r="U33" s="87">
        <f>IF(Q33&lt;=人员资源情况!B$2,1,0)</f>
        <v/>
      </c>
      <c r="V33" s="88">
        <f>IF(T33*U33,Q33-P33,IF(T33&gt;U33,人员资源情况!B$2-P33,IF(T33&lt;U33,任务计划表!Q33-人员资源情况!A$2,0)))*R33*S33</f>
        <v/>
      </c>
      <c r="W33" s="9">
        <f>IF(V33&lt;0,0,V33)</f>
        <v/>
      </c>
      <c r="X33" s="0" t="inlineStr"/>
      <c r="Y33" s="0" t="inlineStr"/>
      <c r="Z33" s="0" t="inlineStr"/>
      <c r="AA33" s="0" t="inlineStr"/>
    </row>
    <row r="34" ht="14.25" customHeight="1" s="81">
      <c r="E34" s="89" t="n"/>
      <c r="F34" s="62" t="inlineStr">
        <is>
          <t>NB-CE</t>
        </is>
      </c>
      <c r="G34" s="32" t="n"/>
      <c r="H34" s="32" t="n"/>
      <c r="I34" s="33" t="inlineStr">
        <is>
          <t>样机制作阶段</t>
        </is>
      </c>
      <c r="J34" s="32" t="n"/>
      <c r="K34" s="32" t="n"/>
      <c r="L34" s="32" t="inlineStr">
        <is>
          <t>/</t>
        </is>
      </c>
      <c r="M34" s="32" t="inlineStr">
        <is>
          <t>/</t>
        </is>
      </c>
      <c r="N34" s="32" t="n"/>
      <c r="O34" s="3">
        <f>任务计划表!K34</f>
        <v/>
      </c>
      <c r="P34" s="11">
        <f>IF(IF(任务计划表!L34="/",人员资源情况!$A$2,L34)&gt;M34,M34,(IF(任务计划表!L34="/",人员资源情况!$A$2,L34)))</f>
        <v/>
      </c>
      <c r="Q34" s="11">
        <f>IF(M34="/",人员资源情况!$B$2,任务计划表!M34)</f>
        <v/>
      </c>
      <c r="R34" s="9">
        <f>任务计划表!N34</f>
        <v/>
      </c>
      <c r="S34" s="87">
        <f>IF(O34=人员资源情况!C$2,1,0)</f>
        <v/>
      </c>
      <c r="T34" s="87">
        <f>IF(P34&gt;=人员资源情况!A$2,1,0)</f>
        <v/>
      </c>
      <c r="U34" s="87">
        <f>IF(Q34&lt;=人员资源情况!B$2,1,0)</f>
        <v/>
      </c>
      <c r="V34" s="88">
        <f>IF(T34*U34,Q34-P34,IF(T34&gt;U34,人员资源情况!B$2-P34,IF(T34&lt;U34,任务计划表!Q34-人员资源情况!A$2,0)))*R34*S34</f>
        <v/>
      </c>
      <c r="W34" s="9">
        <f>IF(V34&lt;0,0,V34)</f>
        <v/>
      </c>
    </row>
    <row r="35" ht="14.25" customHeight="1" s="81">
      <c r="E35" s="89" t="n"/>
      <c r="F35" s="31" t="n"/>
      <c r="G35" s="66" t="n"/>
      <c r="H35" s="66" t="n"/>
      <c r="I35" s="54" t="n"/>
      <c r="J35" s="19" t="n"/>
      <c r="K35" s="17" t="n"/>
      <c r="L35" s="32" t="n"/>
      <c r="M35" s="19" t="n"/>
      <c r="N35" s="79" t="n"/>
      <c r="O35" s="3">
        <f>任务计划表!K35</f>
        <v/>
      </c>
      <c r="P35" s="11">
        <f>IF(IF(任务计划表!L35="/",人员资源情况!$A$2,L35)&gt;M35,M35,(IF(任务计划表!L35="/",人员资源情况!$A$2,L35)))</f>
        <v/>
      </c>
      <c r="Q35" s="11">
        <f>IF(M35="/",人员资源情况!$B$2,任务计划表!M35)</f>
        <v/>
      </c>
      <c r="R35" s="9">
        <f>任务计划表!N35</f>
        <v/>
      </c>
      <c r="S35" s="87">
        <f>IF(O35=人员资源情况!C$2,1,0)</f>
        <v/>
      </c>
      <c r="T35" s="87">
        <f>IF(P35&gt;=人员资源情况!A$2,1,0)</f>
        <v/>
      </c>
      <c r="U35" s="87">
        <f>IF(Q35&lt;=人员资源情况!B$2,1,0)</f>
        <v/>
      </c>
      <c r="V35" s="88">
        <f>IF(T35*U35,Q35-P35,IF(T35&gt;U35,人员资源情况!B$2-P35,IF(T35&lt;U35,任务计划表!Q35-人员资源情况!A$2,0)))*R35*S35</f>
        <v/>
      </c>
      <c r="W35" s="9">
        <f>IF(V35&lt;0,0,V35)</f>
        <v/>
      </c>
    </row>
    <row r="36" ht="14.25" customHeight="1" s="81">
      <c r="B36" s="0" t="inlineStr">
        <is>
          <t>已删除</t>
        </is>
      </c>
      <c r="E36" s="89" t="n"/>
      <c r="F36" s="52" t="inlineStr">
        <is>
          <t>欧洲短款1代产品</t>
        </is>
      </c>
      <c r="G36" s="32" t="n"/>
      <c r="H36" s="32" t="n"/>
      <c r="I36" s="33" t="n"/>
      <c r="J36" s="30" t="inlineStr">
        <is>
          <t>项目经理</t>
        </is>
      </c>
      <c r="K36" s="17" t="inlineStr">
        <is>
          <t>@童景顺(80004217)(童景顺)</t>
        </is>
      </c>
      <c r="L36" s="32" t="inlineStr">
        <is>
          <t>/</t>
        </is>
      </c>
      <c r="M36" s="19" t="n">
        <v>46295</v>
      </c>
      <c r="N36" s="79" t="n">
        <v>0.5</v>
      </c>
      <c r="O36" s="3">
        <f>任务计划表!K36</f>
        <v/>
      </c>
      <c r="P36" s="11">
        <f>IF(IF(任务计划表!L36="/",人员资源情况!$A$2,L36)&gt;M36,M36,(IF(任务计划表!L36="/",人员资源情况!$A$2,L36)))</f>
        <v/>
      </c>
      <c r="Q36" s="11">
        <f>IF(M36="/",人员资源情况!$B$2,任务计划表!M36)</f>
        <v/>
      </c>
      <c r="R36" s="9">
        <f>任务计划表!N36</f>
        <v/>
      </c>
      <c r="S36" s="87">
        <f>IF(O36=人员资源情况!C$2,1,0)</f>
        <v/>
      </c>
      <c r="T36" s="87">
        <f>IF(P36&gt;=人员资源情况!A$2,1,0)</f>
        <v/>
      </c>
      <c r="U36" s="87">
        <f>IF(Q36&lt;=人员资源情况!B$2,1,0)</f>
        <v/>
      </c>
      <c r="V36" s="88">
        <f>IF(T36*U36,Q36-P36,IF(T36&gt;U36,人员资源情况!B$2-P36,IF(T36&lt;U36,任务计划表!Q36-人员资源情况!A$2,0)))*R36*S36</f>
        <v/>
      </c>
      <c r="W36" s="9">
        <f>IF(V36&lt;0,0,V36)</f>
        <v/>
      </c>
    </row>
    <row r="37" ht="14.25" customHeight="1" s="81">
      <c r="B37" s="0" t="inlineStr">
        <is>
          <t>已删除</t>
        </is>
      </c>
      <c r="E37" s="89" t="n"/>
      <c r="F37" s="89" t="n"/>
      <c r="G37" s="32" t="n"/>
      <c r="H37" s="32" t="n"/>
      <c r="I37" s="33" t="n"/>
      <c r="J37" s="21" t="inlineStr">
        <is>
          <t>硬件设计-硬件设计文档</t>
        </is>
      </c>
      <c r="K37" s="17" t="inlineStr">
        <is>
          <t>@童景顺(80004217)(童景顺)</t>
        </is>
      </c>
      <c r="L37" s="19" t="n">
        <v>46221</v>
      </c>
      <c r="M37" s="19" t="n">
        <v>46240</v>
      </c>
      <c r="N37" s="79" t="n">
        <v>2</v>
      </c>
      <c r="O37" s="3">
        <f>任务计划表!K37</f>
        <v/>
      </c>
      <c r="P37" s="11">
        <f>IF(IF(任务计划表!L37="/",人员资源情况!$A$2,L37)&gt;M37,M37,(IF(任务计划表!L37="/",人员资源情况!$A$2,L37)))</f>
        <v/>
      </c>
      <c r="Q37" s="11">
        <f>IF(M37="/",人员资源情况!$B$2,任务计划表!M37)</f>
        <v/>
      </c>
      <c r="R37" s="9">
        <f>任务计划表!N37</f>
        <v/>
      </c>
      <c r="S37" s="87">
        <f>IF(O37=人员资源情况!C$2,1,0)</f>
        <v/>
      </c>
      <c r="T37" s="87">
        <f>IF(P37&gt;=人员资源情况!A$2,1,0)</f>
        <v/>
      </c>
      <c r="U37" s="87">
        <f>IF(Q37&lt;=人员资源情况!B$2,1,0)</f>
        <v/>
      </c>
      <c r="V37" s="88">
        <f>IF(T37*U37,Q37-P37,IF(T37&gt;U37,人员资源情况!B$2-P37,IF(T37&lt;U37,任务计划表!Q37-人员资源情况!A$2,0)))*R37*S37</f>
        <v/>
      </c>
      <c r="W37" s="9">
        <f>IF(V37&lt;0,0,V37)</f>
        <v/>
      </c>
    </row>
    <row r="38" ht="14.25" customHeight="1" s="81">
      <c r="B38" s="0" t="inlineStr">
        <is>
          <t>已删除</t>
        </is>
      </c>
      <c r="E38" s="89" t="n"/>
      <c r="F38" s="89" t="n"/>
      <c r="G38" s="32" t="n"/>
      <c r="H38" s="32" t="n"/>
      <c r="I38" s="54" t="n"/>
      <c r="J38" s="21" t="inlineStr">
        <is>
          <t>硬件工程师-PCB设计</t>
        </is>
      </c>
      <c r="K38" s="17" t="inlineStr">
        <is>
          <t>@童景顺(80004217)(童景顺)</t>
        </is>
      </c>
      <c r="L38" s="19" t="n">
        <v>46242</v>
      </c>
      <c r="M38" s="19" t="n">
        <v>46245</v>
      </c>
      <c r="N38" s="79" t="n">
        <v>7</v>
      </c>
      <c r="O38" s="3">
        <f>任务计划表!K38</f>
        <v/>
      </c>
      <c r="P38" s="11">
        <f>IF(IF(任务计划表!L38="/",人员资源情况!$A$2,L38)&gt;M38,M38,(IF(任务计划表!L38="/",人员资源情况!$A$2,L38)))</f>
        <v/>
      </c>
      <c r="Q38" s="11">
        <f>IF(M38="/",人员资源情况!$B$2,任务计划表!M38)</f>
        <v/>
      </c>
      <c r="R38" s="9">
        <f>任务计划表!N38</f>
        <v/>
      </c>
      <c r="S38" s="87">
        <f>IF(O38=人员资源情况!C$2,1,0)</f>
        <v/>
      </c>
      <c r="T38" s="87">
        <f>IF(P38&gt;=人员资源情况!A$2,1,0)</f>
        <v/>
      </c>
      <c r="U38" s="87">
        <f>IF(Q38&lt;=人员资源情况!B$2,1,0)</f>
        <v/>
      </c>
      <c r="V38" s="88">
        <f>IF(T38*U38,Q38-P38,IF(T38&gt;U38,人员资源情况!B$2-P38,IF(T38&lt;U38,任务计划表!Q38-人员资源情况!A$2,0)))*R38*S38</f>
        <v/>
      </c>
      <c r="W38" s="9">
        <f>IF(V38&lt;0,0,V38)</f>
        <v/>
      </c>
    </row>
    <row r="39" ht="14.25" customHeight="1" s="81">
      <c r="B39" s="0" t="inlineStr">
        <is>
          <t>已删除</t>
        </is>
      </c>
      <c r="E39" s="89" t="n"/>
      <c r="F39" s="89" t="n"/>
      <c r="G39" s="32" t="n"/>
      <c r="H39" s="32" t="n"/>
      <c r="I39" s="54" t="n"/>
      <c r="J39" s="32" t="inlineStr">
        <is>
          <t>固件概要设计</t>
        </is>
      </c>
      <c r="K39" s="17" t="inlineStr">
        <is>
          <t xml:space="preserve"> @项家祺(80004213)(项家祺)</t>
        </is>
      </c>
      <c r="L39" s="19" t="n">
        <v>46221</v>
      </c>
      <c r="M39" s="19" t="n">
        <v>46241</v>
      </c>
      <c r="N39" s="79" t="n">
        <v>2</v>
      </c>
      <c r="O39" s="3">
        <f>任务计划表!K39</f>
        <v/>
      </c>
      <c r="P39" s="11">
        <f>IF(IF(任务计划表!L39="/",人员资源情况!$A$2,L39)&gt;M39,M39,(IF(任务计划表!L39="/",人员资源情况!$A$2,L39)))</f>
        <v/>
      </c>
      <c r="Q39" s="11">
        <f>IF(M39="/",人员资源情况!$B$2,任务计划表!M39)</f>
        <v/>
      </c>
      <c r="R39" s="9">
        <f>任务计划表!N39</f>
        <v/>
      </c>
      <c r="S39" s="87">
        <f>IF(O39=人员资源情况!C$2,1,0)</f>
        <v/>
      </c>
      <c r="T39" s="87">
        <f>IF(P39&gt;=人员资源情况!A$2,1,0)</f>
        <v/>
      </c>
      <c r="U39" s="87">
        <f>IF(Q39&lt;=人员资源情况!B$2,1,0)</f>
        <v/>
      </c>
      <c r="V39" s="88">
        <f>IF(T39*U39,Q39-P39,IF(T39&gt;U39,人员资源情况!B$2-P39,IF(T39&lt;U39,任务计划表!Q39-人员资源情况!A$2,0)))*R39*S39</f>
        <v/>
      </c>
      <c r="W39" s="9">
        <f>IF(V39&lt;0,0,V39)</f>
        <v/>
      </c>
    </row>
    <row r="40" ht="14.25" customHeight="1" s="81">
      <c r="B40" s="0" t="inlineStr">
        <is>
          <t>已删除</t>
        </is>
      </c>
      <c r="E40" s="89" t="n"/>
      <c r="F40" s="89" t="n"/>
      <c r="G40" s="32" t="n"/>
      <c r="H40" s="32" t="n"/>
      <c r="I40" s="54" t="n"/>
      <c r="J40" s="32" t="inlineStr">
        <is>
          <t>固件开发-乌拉圭版本移植</t>
        </is>
      </c>
      <c r="K40" s="17" t="inlineStr">
        <is>
          <t xml:space="preserve"> @李昊龙(80016809)</t>
        </is>
      </c>
      <c r="L40" s="19" t="n">
        <v>46242</v>
      </c>
      <c r="M40" s="19" t="n">
        <v>46264</v>
      </c>
      <c r="N40" s="79" t="n">
        <v>1</v>
      </c>
      <c r="O40" s="3">
        <f>任务计划表!K40</f>
        <v/>
      </c>
      <c r="P40" s="11">
        <f>IF(IF(任务计划表!L40="/",人员资源情况!$A$2,L40)&gt;M40,M40,(IF(任务计划表!L40="/",人员资源情况!$A$2,L40)))</f>
        <v/>
      </c>
      <c r="Q40" s="11">
        <f>IF(M40="/",人员资源情况!$B$2,任务计划表!M40)</f>
        <v/>
      </c>
      <c r="R40" s="9">
        <f>任务计划表!N40</f>
        <v/>
      </c>
      <c r="S40" s="87">
        <f>IF(O40=人员资源情况!C$2,1,0)</f>
        <v/>
      </c>
      <c r="T40" s="87">
        <f>IF(P40&gt;=人员资源情况!A$2,1,0)</f>
        <v/>
      </c>
      <c r="U40" s="87">
        <f>IF(Q40&lt;=人员资源情况!B$2,1,0)</f>
        <v/>
      </c>
      <c r="V40" s="88">
        <f>IF(T40*U40,Q40-P40,IF(T40&gt;U40,人员资源情况!B$2-P40,IF(T40&lt;U40,任务计划表!Q40-人员资源情况!A$2,0)))*R40*S40</f>
        <v/>
      </c>
      <c r="W40" s="9">
        <f>IF(V40&lt;0,0,V40)</f>
        <v/>
      </c>
    </row>
    <row r="41" ht="14.25" customHeight="1" s="81">
      <c r="B41" s="0" t="inlineStr">
        <is>
          <t>已删除</t>
        </is>
      </c>
      <c r="E41" s="89" t="n"/>
      <c r="F41" s="89" t="n"/>
      <c r="G41" s="32" t="n"/>
      <c r="H41" s="32" t="n"/>
      <c r="I41" s="54" t="n"/>
      <c r="J41" s="32" t="inlineStr">
        <is>
          <t>固件开发-乌拉圭版本移植</t>
        </is>
      </c>
      <c r="K41" s="17" t="inlineStr">
        <is>
          <t xml:space="preserve"> @袁琮欣(80015786)(袁琮欣)</t>
        </is>
      </c>
      <c r="L41" s="19" t="n">
        <v>46242</v>
      </c>
      <c r="M41" s="19" t="n">
        <v>46264</v>
      </c>
      <c r="N41" s="79" t="n">
        <v>1</v>
      </c>
      <c r="O41" s="3">
        <f>任务计划表!K41</f>
        <v/>
      </c>
      <c r="P41" s="11">
        <f>IF(IF(任务计划表!L41="/",人员资源情况!$A$2,L41)&gt;M41,M41,(IF(任务计划表!L41="/",人员资源情况!$A$2,L41)))</f>
        <v/>
      </c>
      <c r="Q41" s="11">
        <f>IF(M41="/",人员资源情况!$B$2,任务计划表!M41)</f>
        <v/>
      </c>
      <c r="R41" s="9">
        <f>任务计划表!N41</f>
        <v/>
      </c>
      <c r="S41" s="87">
        <f>IF(O41=人员资源情况!C$2,1,0)</f>
        <v/>
      </c>
      <c r="T41" s="87">
        <f>IF(P41&gt;=人员资源情况!A$2,1,0)</f>
        <v/>
      </c>
      <c r="U41" s="87">
        <f>IF(Q41&lt;=人员资源情况!B$2,1,0)</f>
        <v/>
      </c>
      <c r="V41" s="88">
        <f>IF(T41*U41,Q41-P41,IF(T41&gt;U41,人员资源情况!B$2-P41,IF(T41&lt;U41,任务计划表!Q41-人员资源情况!A$2,0)))*R41*S41</f>
        <v/>
      </c>
      <c r="W41" s="9">
        <f>IF(V41&lt;0,0,V41)</f>
        <v/>
      </c>
    </row>
    <row r="42" ht="14.25" customHeight="1" s="81">
      <c r="B42" s="0" t="inlineStr">
        <is>
          <t>已删除</t>
        </is>
      </c>
      <c r="E42" s="89" t="n"/>
      <c r="F42" s="89" t="n"/>
      <c r="G42" s="32" t="n"/>
      <c r="H42" s="32" t="n"/>
      <c r="I42" s="54" t="n"/>
      <c r="J42" s="32" t="inlineStr">
        <is>
          <t>固件工程师-固件内测</t>
        </is>
      </c>
      <c r="K42" s="17" t="inlineStr">
        <is>
          <t xml:space="preserve"> @张国庆(80019159)</t>
        </is>
      </c>
      <c r="L42" s="19" t="n">
        <v>46276</v>
      </c>
      <c r="M42" s="19" t="n">
        <v>46279</v>
      </c>
      <c r="N42" s="79" t="n">
        <v>8</v>
      </c>
      <c r="O42" s="3">
        <f>任务计划表!K42</f>
        <v/>
      </c>
      <c r="P42" s="11">
        <f>IF(IF(任务计划表!L42="/",人员资源情况!$A$2,L42)&gt;M42,M42,(IF(任务计划表!L42="/",人员资源情况!$A$2,L42)))</f>
        <v/>
      </c>
      <c r="Q42" s="11">
        <f>IF(M42="/",人员资源情况!$B$2,任务计划表!M42)</f>
        <v/>
      </c>
      <c r="R42" s="9">
        <f>任务计划表!N42</f>
        <v/>
      </c>
      <c r="S42" s="87">
        <f>IF(O42=人员资源情况!C$2,1,0)</f>
        <v/>
      </c>
      <c r="T42" s="87">
        <f>IF(P42&gt;=人员资源情况!A$2,1,0)</f>
        <v/>
      </c>
      <c r="U42" s="87">
        <f>IF(Q42&lt;=人员资源情况!B$2,1,0)</f>
        <v/>
      </c>
      <c r="V42" s="88">
        <f>IF(T42*U42,Q42-P42,IF(T42&gt;U42,人员资源情况!B$2-P42,IF(T42&lt;U42,任务计划表!Q42-人员资源情况!A$2,0)))*R42*S42</f>
        <v/>
      </c>
      <c r="W42" s="9">
        <f>IF(V42&lt;0,0,V42)</f>
        <v/>
      </c>
    </row>
    <row r="43" ht="14.25" customHeight="1" s="81">
      <c r="B43" s="0" t="inlineStr">
        <is>
          <t>已删除</t>
        </is>
      </c>
      <c r="E43" s="89" t="n"/>
      <c r="F43" s="89" t="n"/>
      <c r="G43" s="32" t="n"/>
      <c r="H43" s="32" t="n"/>
      <c r="I43" s="54" t="n"/>
      <c r="J43" s="32" t="inlineStr">
        <is>
          <t>固件工程师-内容修复</t>
        </is>
      </c>
      <c r="K43" s="17" t="inlineStr">
        <is>
          <t xml:space="preserve"> @袁琮欣(80015786)(袁琮欣)</t>
        </is>
      </c>
      <c r="L43" s="19" t="n">
        <v>46278</v>
      </c>
      <c r="M43" s="19" t="n">
        <v>46278</v>
      </c>
      <c r="N43" s="79" t="n">
        <v>8</v>
      </c>
      <c r="O43" s="3">
        <f>任务计划表!K43</f>
        <v/>
      </c>
      <c r="P43" s="11">
        <f>IF(IF(任务计划表!L43="/",人员资源情况!$A$2,L43)&gt;M43,M43,(IF(任务计划表!L43="/",人员资源情况!$A$2,L43)))</f>
        <v/>
      </c>
      <c r="Q43" s="11">
        <f>IF(M43="/",人员资源情况!$B$2,任务计划表!M43)</f>
        <v/>
      </c>
      <c r="R43" s="9">
        <f>任务计划表!N43</f>
        <v/>
      </c>
      <c r="S43" s="87">
        <f>IF(O43=人员资源情况!C$2,1,0)</f>
        <v/>
      </c>
      <c r="T43" s="87">
        <f>IF(P43&gt;=人员资源情况!A$2,1,0)</f>
        <v/>
      </c>
      <c r="U43" s="87">
        <f>IF(Q43&lt;=人员资源情况!B$2,1,0)</f>
        <v/>
      </c>
      <c r="V43" s="88">
        <f>IF(T43*U43,Q43-P43,IF(T43&gt;U43,人员资源情况!B$2-P43,IF(T43&lt;U43,任务计划表!Q43-人员资源情况!A$2,0)))*R43*S43</f>
        <v/>
      </c>
      <c r="W43" s="9">
        <f>IF(V43&lt;0,0,V43)</f>
        <v/>
      </c>
    </row>
    <row r="44" ht="14.25" customHeight="1" s="81">
      <c r="B44" s="0" t="inlineStr">
        <is>
          <t>已删除</t>
        </is>
      </c>
      <c r="E44" s="89" t="n"/>
      <c r="F44" s="89" t="n"/>
      <c r="G44" s="32" t="n"/>
      <c r="H44" s="32" t="n"/>
      <c r="I44" s="54" t="n"/>
      <c r="J44" s="32" t="inlineStr">
        <is>
          <t>固件工程师-测试跟踪</t>
        </is>
      </c>
      <c r="K44" s="17" t="inlineStr">
        <is>
          <t xml:space="preserve"> @袁琮欣(80015786)(袁琮欣)</t>
        </is>
      </c>
      <c r="L44" s="19" t="n">
        <v>46279</v>
      </c>
      <c r="M44" s="19" t="n">
        <v>46311</v>
      </c>
      <c r="N44" s="79" t="n">
        <v>1</v>
      </c>
      <c r="O44" s="3">
        <f>任务计划表!K44</f>
        <v/>
      </c>
      <c r="P44" s="11">
        <f>IF(IF(任务计划表!L44="/",人员资源情况!$A$2,L44)&gt;M44,M44,(IF(任务计划表!L44="/",人员资源情况!$A$2,L44)))</f>
        <v/>
      </c>
      <c r="Q44" s="11">
        <f>IF(M44="/",人员资源情况!$B$2,任务计划表!M44)</f>
        <v/>
      </c>
      <c r="R44" s="9">
        <f>任务计划表!N44</f>
        <v/>
      </c>
      <c r="S44" s="87">
        <f>IF(O44=人员资源情况!C$2,1,0)</f>
        <v/>
      </c>
      <c r="T44" s="87">
        <f>IF(P44&gt;=人员资源情况!A$2,1,0)</f>
        <v/>
      </c>
      <c r="U44" s="87">
        <f>IF(Q44&lt;=人员资源情况!B$2,1,0)</f>
        <v/>
      </c>
      <c r="V44" s="88">
        <f>IF(T44*U44,Q44-P44,IF(T44&gt;U44,人员资源情况!B$2-P44,IF(T44&lt;U44,任务计划表!Q44-人员资源情况!A$2,0)))*R44*S44</f>
        <v/>
      </c>
      <c r="W44" s="9">
        <f>IF(V44&lt;0,0,V44)</f>
        <v/>
      </c>
    </row>
    <row r="45" ht="14.25" customHeight="1" s="81">
      <c r="B45" s="0" t="inlineStr">
        <is>
          <t>已删除</t>
        </is>
      </c>
      <c r="E45" s="89" t="n"/>
      <c r="F45" s="89" t="n"/>
      <c r="G45" s="32" t="n"/>
      <c r="H45" s="32" t="n"/>
      <c r="I45" s="54" t="n"/>
      <c r="J45" s="32" t="inlineStr">
        <is>
          <t>固件工程师-测试跟踪</t>
        </is>
      </c>
      <c r="K45" s="17" t="inlineStr">
        <is>
          <t xml:space="preserve"> @李昊龙(80016809)</t>
        </is>
      </c>
      <c r="L45" s="19" t="n">
        <v>46279</v>
      </c>
      <c r="M45" s="19" t="n">
        <v>46311</v>
      </c>
      <c r="N45" s="79" t="n">
        <v>1.5</v>
      </c>
      <c r="O45" s="3">
        <f>任务计划表!K45</f>
        <v/>
      </c>
      <c r="P45" s="11">
        <f>IF(IF(任务计划表!L45="/",人员资源情况!$A$2,L45)&gt;M45,M45,(IF(任务计划表!L45="/",人员资源情况!$A$2,L45)))</f>
        <v/>
      </c>
      <c r="Q45" s="11">
        <f>IF(M45="/",人员资源情况!$B$2,任务计划表!M45)</f>
        <v/>
      </c>
      <c r="R45" s="9">
        <f>任务计划表!N45</f>
        <v/>
      </c>
      <c r="S45" s="87">
        <f>IF(O45=人员资源情况!C$2,1,0)</f>
        <v/>
      </c>
      <c r="T45" s="87">
        <f>IF(P45&gt;=人员资源情况!A$2,1,0)</f>
        <v/>
      </c>
      <c r="U45" s="87">
        <f>IF(Q45&lt;=人员资源情况!B$2,1,0)</f>
        <v/>
      </c>
      <c r="V45" s="88">
        <f>IF(T45*U45,Q45-P45,IF(T45&gt;U45,人员资源情况!B$2-P45,IF(T45&lt;U45,任务计划表!Q45-人员资源情况!A$2,0)))*R45*S45</f>
        <v/>
      </c>
      <c r="W45" s="9">
        <f>IF(V45&lt;0,0,V45)</f>
        <v/>
      </c>
    </row>
    <row r="46" ht="14.25" customHeight="1" s="81">
      <c r="B46" s="0" t="inlineStr">
        <is>
          <t>已删除</t>
        </is>
      </c>
      <c r="E46" s="89" t="n"/>
      <c r="F46" s="89" t="n"/>
      <c r="G46" s="32" t="n"/>
      <c r="H46" s="32" t="n"/>
      <c r="I46" s="33" t="n"/>
      <c r="J46" s="14" t="inlineStr">
        <is>
          <t>乌拉圭投标样机</t>
        </is>
      </c>
      <c r="K46" s="17" t="inlineStr">
        <is>
          <t xml:space="preserve"> @童景顺(80004217)(童景顺)</t>
        </is>
      </c>
      <c r="L46" s="19" t="n">
        <v>46295</v>
      </c>
      <c r="M46" s="19" t="n">
        <v>46295</v>
      </c>
      <c r="N46" s="79" t="n">
        <v>0</v>
      </c>
      <c r="O46" s="3">
        <f>任务计划表!K46</f>
        <v/>
      </c>
      <c r="P46" s="11">
        <f>IF(IF(任务计划表!L46="/",人员资源情况!$A$2,L46)&gt;M46,M46,(IF(任务计划表!L46="/",人员资源情况!$A$2,L46)))</f>
        <v/>
      </c>
      <c r="Q46" s="11">
        <f>IF(M46="/",人员资源情况!$B$2,任务计划表!M46)</f>
        <v/>
      </c>
      <c r="R46" s="9">
        <f>任务计划表!N46</f>
        <v/>
      </c>
      <c r="S46" s="87">
        <f>IF(O46=人员资源情况!C$2,1,0)</f>
        <v/>
      </c>
      <c r="T46" s="87">
        <f>IF(P46&gt;=人员资源情况!A$2,1,0)</f>
        <v/>
      </c>
      <c r="U46" s="87">
        <f>IF(Q46&lt;=人员资源情况!B$2,1,0)</f>
        <v/>
      </c>
      <c r="V46" s="88">
        <f>IF(T46*U46,Q46-P46,IF(T46&gt;U46,人员资源情况!B$2-P46,IF(T46&lt;U46,任务计划表!Q46-人员资源情况!A$2,0)))*R46*S46</f>
        <v/>
      </c>
      <c r="W46" s="9">
        <f>IF(V46&lt;0,0,V46)</f>
        <v/>
      </c>
    </row>
    <row r="47" ht="14.25" customHeight="1" s="81">
      <c r="B47" s="0" t="inlineStr">
        <is>
          <t>已删除</t>
        </is>
      </c>
      <c r="E47" s="54" t="inlineStr">
        <is>
          <t>亚洲</t>
        </is>
      </c>
      <c r="F47" s="33" t="inlineStr">
        <is>
          <t>巴勒斯坦-LoRa</t>
        </is>
      </c>
      <c r="G47" s="32" t="n"/>
      <c r="H47" s="32" t="n"/>
      <c r="I47" s="33" t="n"/>
      <c r="J47" s="29" t="inlineStr">
        <is>
          <t>项目经理</t>
        </is>
      </c>
      <c r="K47" s="17" t="inlineStr">
        <is>
          <t xml:space="preserve"> @答金雨(80016793)</t>
        </is>
      </c>
      <c r="L47" s="19" t="n">
        <v>46206</v>
      </c>
      <c r="M47" s="19" t="n">
        <v>46258</v>
      </c>
      <c r="N47" s="79" t="n">
        <v>0.5</v>
      </c>
      <c r="O47" s="3">
        <f>任务计划表!K47</f>
        <v/>
      </c>
      <c r="P47" s="11">
        <f>IF(IF(任务计划表!L47="/",人员资源情况!$A$2,L47)&gt;M47,M47,(IF(任务计划表!L47="/",人员资源情况!$A$2,L47)))</f>
        <v/>
      </c>
      <c r="Q47" s="11">
        <f>IF(M47="/",人员资源情况!$B$2,任务计划表!M47)</f>
        <v/>
      </c>
      <c r="R47" s="9">
        <f>任务计划表!N47</f>
        <v/>
      </c>
      <c r="S47" s="87">
        <f>IF(O47=人员资源情况!C$2,1,0)</f>
        <v/>
      </c>
      <c r="T47" s="87">
        <f>IF(P47&gt;=人员资源情况!A$2,1,0)</f>
        <v/>
      </c>
      <c r="U47" s="87">
        <f>IF(Q47&lt;=人员资源情况!B$2,1,0)</f>
        <v/>
      </c>
      <c r="V47" s="88">
        <f>IF(T47*U47,Q47-P47,IF(T47&gt;U47,人员资源情况!B$2-P47,IF(T47&lt;U47,任务计划表!Q47-人员资源情况!A$2,0)))*R47*S47</f>
        <v/>
      </c>
      <c r="W47" s="9">
        <f>IF(V47&lt;0,0,V47)</f>
        <v/>
      </c>
    </row>
    <row r="48" ht="14.25" customHeight="1" s="81">
      <c r="B48" s="0" t="inlineStr">
        <is>
          <t>已删除</t>
        </is>
      </c>
      <c r="D48" s="9" t="inlineStr">
        <is>
          <t>1day</t>
        </is>
      </c>
      <c r="E48" s="89" t="n"/>
      <c r="F48" s="89" t="n"/>
      <c r="G48" s="32" t="n"/>
      <c r="H48" s="32" t="n"/>
      <c r="I48" s="33" t="n"/>
      <c r="J48" s="29" t="inlineStr">
        <is>
          <t>SE设计</t>
        </is>
      </c>
      <c r="K48" s="17" t="inlineStr">
        <is>
          <t xml:space="preserve"> @毛文豪(80018842)</t>
        </is>
      </c>
      <c r="L48" s="32" t="inlineStr">
        <is>
          <t>/</t>
        </is>
      </c>
      <c r="M48" s="19" t="n">
        <v>46225</v>
      </c>
      <c r="N48" s="79" t="n">
        <v>8</v>
      </c>
      <c r="O48" s="3">
        <f>任务计划表!K48</f>
        <v/>
      </c>
      <c r="P48" s="11">
        <f>IF(IF(任务计划表!L48="/",人员资源情况!$A$2,L48)&gt;M48,M48,(IF(任务计划表!L48="/",人员资源情况!$A$2,L48)))</f>
        <v/>
      </c>
      <c r="Q48" s="11">
        <f>IF(M48="/",人员资源情况!$B$2,任务计划表!M48)</f>
        <v/>
      </c>
      <c r="R48" s="9">
        <f>任务计划表!N48</f>
        <v/>
      </c>
      <c r="S48" s="87">
        <f>IF(O48=人员资源情况!C$2,1,0)</f>
        <v/>
      </c>
      <c r="T48" s="87">
        <f>IF(P48&gt;=人员资源情况!A$2,1,0)</f>
        <v/>
      </c>
      <c r="U48" s="87">
        <f>IF(Q48&lt;=人员资源情况!B$2,1,0)</f>
        <v/>
      </c>
      <c r="V48" s="88">
        <f>IF(T48*U48,Q48-P48,IF(T48&gt;U48,人员资源情况!B$2-P48,IF(T48&lt;U48,任务计划表!Q48-人员资源情况!A$2,0)))*R48*S48</f>
        <v/>
      </c>
      <c r="W48" s="9">
        <f>IF(V48&lt;0,0,V48)</f>
        <v/>
      </c>
    </row>
    <row r="49" ht="14.25" customHeight="1" s="81">
      <c r="B49" s="0" t="inlineStr">
        <is>
          <t>已删除</t>
        </is>
      </c>
      <c r="D49" s="9" t="inlineStr">
        <is>
          <t>3days</t>
        </is>
      </c>
      <c r="E49" s="89" t="n"/>
      <c r="F49" s="89" t="n"/>
      <c r="G49" s="32" t="n"/>
      <c r="H49" s="32" t="n"/>
      <c r="I49" s="33" t="n"/>
      <c r="J49" s="29" t="inlineStr">
        <is>
          <t>固件工程师-固件开发</t>
        </is>
      </c>
      <c r="K49" s="17" t="inlineStr">
        <is>
          <t xml:space="preserve"> @毛文豪(80018842)</t>
        </is>
      </c>
      <c r="L49" s="19" t="n">
        <v>46225</v>
      </c>
      <c r="M49" s="19" t="n">
        <v>46228</v>
      </c>
      <c r="N49" s="79" t="n">
        <v>7</v>
      </c>
      <c r="O49" s="3">
        <f>任务计划表!K49</f>
        <v/>
      </c>
      <c r="P49" s="11">
        <f>IF(IF(任务计划表!L49="/",人员资源情况!$A$2,L49)&gt;M49,M49,(IF(任务计划表!L49="/",人员资源情况!$A$2,L49)))</f>
        <v/>
      </c>
      <c r="Q49" s="11">
        <f>IF(M49="/",人员资源情况!$B$2,任务计划表!M49)</f>
        <v/>
      </c>
      <c r="R49" s="9">
        <f>任务计划表!N49</f>
        <v/>
      </c>
      <c r="S49" s="87">
        <f>IF(O49=人员资源情况!C$2,1,0)</f>
        <v/>
      </c>
      <c r="T49" s="87">
        <f>IF(P49&gt;=人员资源情况!A$2,1,0)</f>
        <v/>
      </c>
      <c r="U49" s="87">
        <f>IF(Q49&lt;=人员资源情况!B$2,1,0)</f>
        <v/>
      </c>
      <c r="V49" s="88">
        <f>IF(T49*U49,Q49-P49,IF(T49&gt;U49,人员资源情况!B$2-P49,IF(T49&lt;U49,任务计划表!Q49-人员资源情况!A$2,0)))*R49*S49</f>
        <v/>
      </c>
      <c r="W49" s="9">
        <f>IF(V49&lt;0,0,V49)</f>
        <v/>
      </c>
    </row>
    <row r="50" ht="14.25" customHeight="1" s="81">
      <c r="A50" s="0" t="inlineStr">
        <is>
          <t>已归档</t>
        </is>
      </c>
      <c r="D50" s="9" t="inlineStr">
        <is>
          <t>14days</t>
        </is>
      </c>
      <c r="E50" s="89" t="n"/>
      <c r="F50" s="90" t="n"/>
      <c r="G50" s="32" t="n"/>
      <c r="H50" s="32" t="n"/>
      <c r="I50" s="33" t="n"/>
      <c r="J50" s="29" t="inlineStr">
        <is>
          <t>固件工程师-测试跟踪</t>
        </is>
      </c>
      <c r="K50" s="17" t="inlineStr">
        <is>
          <t xml:space="preserve"> @毛文豪(80018842)</t>
        </is>
      </c>
      <c r="L50" s="19" t="n">
        <v>46228</v>
      </c>
      <c r="M50" s="19" t="n">
        <v>46243</v>
      </c>
      <c r="N50" s="79" t="n">
        <v>2</v>
      </c>
      <c r="O50" s="3">
        <f>任务计划表!K50</f>
        <v/>
      </c>
      <c r="P50" s="11">
        <f>IF(IF(任务计划表!L50="/",人员资源情况!$A$2,L50)&gt;M50,M50,(IF(任务计划表!L50="/",人员资源情况!$A$2,L50)))</f>
        <v/>
      </c>
      <c r="Q50" s="11">
        <f>IF(M50="/",人员资源情况!$B$2,任务计划表!M50)</f>
        <v/>
      </c>
      <c r="R50" s="9">
        <f>任务计划表!N50</f>
        <v/>
      </c>
      <c r="S50" s="87">
        <f>IF(O50=人员资源情况!C$2,1,0)</f>
        <v/>
      </c>
      <c r="T50" s="87">
        <f>IF(P50&gt;=人员资源情况!A$2,1,0)</f>
        <v/>
      </c>
      <c r="U50" s="87">
        <f>IF(Q50&lt;=人员资源情况!B$2,1,0)</f>
        <v/>
      </c>
      <c r="V50" s="88">
        <f>IF(T50*U50,Q50-P50,IF(T50&gt;U50,人员资源情况!B$2-P50,IF(T50&lt;U50,任务计划表!Q50-人员资源情况!A$2,0)))*R50*S50</f>
        <v/>
      </c>
      <c r="W50" s="9">
        <f>IF(V50&lt;0,0,V50)</f>
        <v/>
      </c>
      <c r="X50" s="0" t="inlineStr"/>
      <c r="Y50" s="0" t="inlineStr"/>
      <c r="Z50" s="0" t="inlineStr"/>
      <c r="AA50" s="0" t="inlineStr"/>
    </row>
    <row r="51" ht="14.25" customHeight="1" s="81">
      <c r="A51" s="0" t="inlineStr">
        <is>
          <t>已归档</t>
        </is>
      </c>
      <c r="E51" s="89" t="n"/>
      <c r="F51" s="51" t="inlineStr">
        <is>
          <t>印尼 BLE表</t>
        </is>
      </c>
      <c r="G51" s="34" t="n"/>
      <c r="H51" s="68" t="n"/>
      <c r="I51" s="51" t="n"/>
      <c r="J51" s="29" t="inlineStr">
        <is>
          <t>固件工程师-固件开发</t>
        </is>
      </c>
      <c r="K51" s="17" t="inlineStr">
        <is>
          <t xml:space="preserve"> @危才文(80018808)</t>
        </is>
      </c>
      <c r="L51" s="19" t="n">
        <v>46220</v>
      </c>
      <c r="M51" s="19" t="n">
        <v>46223</v>
      </c>
      <c r="N51" s="33" t="n">
        <v>4</v>
      </c>
      <c r="O51" s="3">
        <f>任务计划表!K51</f>
        <v/>
      </c>
      <c r="P51" s="11">
        <f>IF(IF(任务计划表!L51="/",人员资源情况!$A$2,L51)&gt;M51,M51,(IF(任务计划表!L51="/",人员资源情况!$A$2,L51)))</f>
        <v/>
      </c>
      <c r="Q51" s="11">
        <f>IF(M51="/",人员资源情况!$B$2,任务计划表!M51)</f>
        <v/>
      </c>
      <c r="R51" s="9">
        <f>任务计划表!N51</f>
        <v/>
      </c>
      <c r="S51" s="87">
        <f>IF(O51=人员资源情况!C$2,1,0)</f>
        <v/>
      </c>
      <c r="T51" s="87">
        <f>IF(P51&gt;=人员资源情况!A$2,1,0)</f>
        <v/>
      </c>
      <c r="U51" s="87">
        <f>IF(Q51&lt;=人员资源情况!B$2,1,0)</f>
        <v/>
      </c>
      <c r="V51" s="88">
        <f>IF(T51*U51,Q51-P51,IF(T51&gt;U51,人员资源情况!B$2-P51,IF(T51&lt;U51,任务计划表!Q51-人员资源情况!A$2,0)))*R51*S51</f>
        <v/>
      </c>
      <c r="W51" s="9">
        <f>IF(V51&lt;0,0,V51)</f>
        <v/>
      </c>
      <c r="X51" s="0" t="inlineStr"/>
      <c r="Y51" s="0" t="inlineStr"/>
      <c r="Z51" s="0" t="inlineStr"/>
      <c r="AA51" s="0" t="inlineStr"/>
    </row>
    <row r="52" ht="14.25" customHeight="1" s="81">
      <c r="E52" s="79" t="inlineStr">
        <is>
          <t>中东</t>
        </is>
      </c>
      <c r="F52" s="79" t="inlineStr">
        <is>
          <t>沙特-NB水表</t>
        </is>
      </c>
      <c r="G52" s="34" t="n">
        <v>46206</v>
      </c>
      <c r="H52" s="68" t="inlineStr">
        <is>
          <t>/</t>
        </is>
      </c>
      <c r="I52" s="79" t="inlineStr">
        <is>
          <t>预研阶段</t>
        </is>
      </c>
      <c r="J52" s="19" t="inlineStr">
        <is>
          <t>硬件工程师</t>
        </is>
      </c>
      <c r="K52" s="17" t="inlineStr">
        <is>
          <t>@童景顺(80004217)(童景顺)</t>
        </is>
      </c>
      <c r="L52" s="19" t="n"/>
      <c r="M52" s="19" t="n"/>
      <c r="N52" s="33" t="n">
        <v>2</v>
      </c>
      <c r="O52" s="3">
        <f>任务计划表!K52</f>
        <v/>
      </c>
      <c r="P52" s="11">
        <f>IF(IF(任务计划表!L52="/",人员资源情况!$A$2,L52)&gt;M52,M52,(IF(任务计划表!L52="/",人员资源情况!$A$2,L52)))</f>
        <v/>
      </c>
      <c r="Q52" s="11">
        <f>IF(M52="/",人员资源情况!$B$2,任务计划表!M52)</f>
        <v/>
      </c>
      <c r="R52" s="9">
        <f>任务计划表!N52</f>
        <v/>
      </c>
      <c r="S52" s="87">
        <f>IF(O52=人员资源情况!C$2,1,0)</f>
        <v/>
      </c>
      <c r="T52" s="87">
        <f>IF(P52&gt;=人员资源情况!A$2,1,0)</f>
        <v/>
      </c>
      <c r="U52" s="87">
        <f>IF(Q52&lt;=人员资源情况!B$2,1,0)</f>
        <v/>
      </c>
      <c r="V52" s="88">
        <f>IF(T52*U52,Q52-P52,IF(T52&gt;U52,人员资源情况!B$2-P52,IF(T52&lt;U52,任务计划表!Q52-人员资源情况!A$2,0)))*R52*S52</f>
        <v/>
      </c>
      <c r="W52" s="9">
        <f>IF(V52&lt;0,0,V52)</f>
        <v/>
      </c>
    </row>
    <row r="53" ht="14.25" customHeight="1" s="81">
      <c r="E53" s="0" t="inlineStr">
        <is>
          <t>中东</t>
        </is>
      </c>
      <c r="F53" s="0" t="inlineStr">
        <is>
          <t>沙特-NB水表</t>
        </is>
      </c>
      <c r="G53" s="32" t="n"/>
      <c r="H53" s="32" t="n"/>
      <c r="I53" s="0" t="inlineStr">
        <is>
          <t>预研阶段</t>
        </is>
      </c>
      <c r="J53" s="32" t="inlineStr">
        <is>
          <t>固件工程师-压力传感器功能测试</t>
        </is>
      </c>
      <c r="K53" s="17" t="inlineStr">
        <is>
          <t>魏殷浩</t>
        </is>
      </c>
      <c r="L53" s="19" t="inlineStr">
        <is>
          <t>2026-07-28</t>
        </is>
      </c>
      <c r="M53" s="19" t="inlineStr">
        <is>
          <t>2026-07-31</t>
        </is>
      </c>
      <c r="N53" s="33" t="n">
        <v>6</v>
      </c>
      <c r="O53" s="3">
        <f>任务计划表!K53</f>
        <v/>
      </c>
      <c r="P53" s="11">
        <f>IF(IF(任务计划表!L53="/",人员资源情况!$A$2,L53)&gt;M53,M53,(IF(任务计划表!L53="/",人员资源情况!$A$2,L53)))</f>
        <v/>
      </c>
      <c r="Q53" s="11">
        <f>IF(M53="/",人员资源情况!$B$2,任务计划表!M53)</f>
        <v/>
      </c>
      <c r="R53" s="9">
        <f>任务计划表!N53</f>
        <v/>
      </c>
      <c r="S53" s="87">
        <f>IF(O53=人员资源情况!C$2,1,0)</f>
        <v/>
      </c>
      <c r="T53" s="87">
        <f>IF(P53&gt;=人员资源情况!A$2,1,0)</f>
        <v/>
      </c>
      <c r="U53" s="87">
        <f>IF(Q53&lt;=人员资源情况!B$2,1,0)</f>
        <v/>
      </c>
      <c r="V53" s="88">
        <f>IF(T53*U53,Q53-P53,IF(T53&gt;U53,人员资源情况!B$2-P53,IF(T53&lt;U53,任务计划表!Q53-人员资源情况!A$2,0)))*R53*S53</f>
        <v/>
      </c>
      <c r="W53" s="9">
        <f>IF(V53&lt;0,0,V53)</f>
        <v/>
      </c>
      <c r="X53" s="0" t="inlineStr"/>
      <c r="Y53" s="0" t="inlineStr"/>
      <c r="Z53" s="0" t="inlineStr"/>
      <c r="AA53" s="0" t="inlineStr"/>
    </row>
    <row r="54" ht="14.25" customHeight="1" s="81">
      <c r="E54" s="0" t="inlineStr">
        <is>
          <t>中东</t>
        </is>
      </c>
      <c r="F54" s="0" t="inlineStr">
        <is>
          <t>沙特-NB水表</t>
        </is>
      </c>
      <c r="G54" s="32" t="n"/>
      <c r="H54" s="32" t="n"/>
      <c r="I54" s="0" t="inlineStr">
        <is>
          <t>预研阶段</t>
        </is>
      </c>
      <c r="J54" s="19" t="inlineStr">
        <is>
          <t>固件工程师-压力传感器驱动开发</t>
        </is>
      </c>
      <c r="K54" s="17" t="inlineStr">
        <is>
          <t>魏殷浩</t>
        </is>
      </c>
      <c r="L54" s="19" t="inlineStr">
        <is>
          <t>2026-08-01</t>
        </is>
      </c>
      <c r="M54" s="19" t="inlineStr">
        <is>
          <t>2026-08-20</t>
        </is>
      </c>
      <c r="N54" s="33" t="n">
        <v>7</v>
      </c>
      <c r="O54" s="3">
        <f>任务计划表!K54</f>
        <v/>
      </c>
      <c r="P54" s="11">
        <f>IF(IF(任务计划表!L54="/",人员资源情况!$A$2,L54)&gt;M54,M54,(IF(任务计划表!L54="/",人员资源情况!$A$2,L54)))</f>
        <v/>
      </c>
      <c r="Q54" s="11">
        <f>IF(M54="/",人员资源情况!$B$2,任务计划表!M54)</f>
        <v/>
      </c>
      <c r="R54" s="9">
        <f>任务计划表!N54</f>
        <v/>
      </c>
      <c r="S54" s="87">
        <f>IF(O54=人员资源情况!C$2,1,0)</f>
        <v/>
      </c>
      <c r="T54" s="87">
        <f>IF(P54&gt;=人员资源情况!A$2,1,0)</f>
        <v/>
      </c>
      <c r="U54" s="87">
        <f>IF(Q54&lt;=人员资源情况!B$2,1,0)</f>
        <v/>
      </c>
      <c r="V54" s="88">
        <f>IF(T54*U54,Q54-P54,IF(T54&gt;U54,人员资源情况!B$2-P54,IF(T54&lt;U54,任务计划表!Q54-人员资源情况!A$2,0)))*R54*S54</f>
        <v/>
      </c>
      <c r="W54" s="9">
        <f>IF(V54&lt;0,0,V54)</f>
        <v/>
      </c>
      <c r="X54" s="0" t="inlineStr"/>
      <c r="Y54" s="0" t="inlineStr"/>
      <c r="Z54" s="0" t="inlineStr"/>
      <c r="AA54" s="0" t="inlineStr"/>
    </row>
    <row r="55" ht="14.25" customHeight="1" s="81">
      <c r="A55" s="0" t="inlineStr"/>
      <c r="E55" s="0" t="inlineStr">
        <is>
          <t>中东</t>
        </is>
      </c>
      <c r="F55" s="0" t="inlineStr">
        <is>
          <t>沙特-NB水表</t>
        </is>
      </c>
      <c r="G55" s="32" t="n"/>
      <c r="H55" s="32" t="n"/>
      <c r="I55" s="0" t="inlineStr">
        <is>
          <t>预研阶段</t>
        </is>
      </c>
      <c r="J55" s="32" t="inlineStr">
        <is>
          <t>硬件工程师-压力功能性能测试</t>
        </is>
      </c>
      <c r="K55" s="17" t="inlineStr">
        <is>
          <t xml:space="preserve"> @姚金星(80019160)</t>
        </is>
      </c>
      <c r="L55" s="19" t="n">
        <v>46210</v>
      </c>
      <c r="M55" s="19" t="n">
        <v>46213</v>
      </c>
      <c r="N55" s="33" t="n">
        <v>4</v>
      </c>
      <c r="O55" s="3">
        <f>任务计划表!K55</f>
        <v/>
      </c>
      <c r="P55" s="11">
        <f>IF(IF(任务计划表!L55="/",人员资源情况!$A$2,L55)&gt;M55,M55,(IF(任务计划表!L55="/",人员资源情况!$A$2,L55)))</f>
        <v/>
      </c>
      <c r="Q55" s="11">
        <f>IF(M55="/",人员资源情况!$B$2,任务计划表!M55)</f>
        <v/>
      </c>
      <c r="R55" s="9">
        <f>任务计划表!N55</f>
        <v/>
      </c>
      <c r="S55" s="87">
        <f>IF(O55=人员资源情况!C$2,1,0)</f>
        <v/>
      </c>
      <c r="T55" s="87">
        <f>IF(P55&gt;=人员资源情况!A$2,1,0)</f>
        <v/>
      </c>
      <c r="U55" s="87">
        <f>IF(Q55&lt;=人员资源情况!B$2,1,0)</f>
        <v/>
      </c>
      <c r="V55" s="88">
        <f>IF(T55*U55,Q55-P55,IF(T55&gt;U55,人员资源情况!B$2-P55,IF(T55&lt;U55,任务计划表!Q55-人员资源情况!A$2,0)))*R55*S55</f>
        <v/>
      </c>
      <c r="W55" s="9">
        <f>IF(V55&lt;0,0,V55)</f>
        <v/>
      </c>
    </row>
    <row r="56" ht="14.25" customHeight="1" s="81">
      <c r="E56" s="33" t="inlineStr">
        <is>
          <t>产品降本</t>
        </is>
      </c>
      <c r="F56" s="33" t="inlineStr">
        <is>
          <t>研究院LoRaWAN</t>
        </is>
      </c>
      <c r="G56" s="32" t="n"/>
      <c r="H56" s="32" t="n"/>
      <c r="I56" s="23" t="inlineStr">
        <is>
          <t>LoRaWAN通用产品+兼容lierda</t>
        </is>
      </c>
      <c r="J56" s="19" t="inlineStr">
        <is>
          <t>固件工程师-开发</t>
        </is>
      </c>
      <c r="K56" s="17" t="inlineStr">
        <is>
          <t xml:space="preserve"> @危才文(80018808)</t>
        </is>
      </c>
      <c r="L56" s="19" t="n">
        <v>46223</v>
      </c>
      <c r="M56" s="19" t="n">
        <v>46238</v>
      </c>
      <c r="N56" s="33" t="n">
        <v>6</v>
      </c>
      <c r="O56" s="3">
        <f>任务计划表!K56</f>
        <v/>
      </c>
      <c r="P56" s="11">
        <f>IF(IF(任务计划表!L56="/",人员资源情况!$A$2,L56)&gt;M56,M56,(IF(任务计划表!L56="/",人员资源情况!$A$2,L56)))</f>
        <v/>
      </c>
      <c r="Q56" s="11">
        <f>IF(M56="/",人员资源情况!$B$2,任务计划表!M56)</f>
        <v/>
      </c>
      <c r="R56" s="9">
        <f>任务计划表!N56</f>
        <v/>
      </c>
      <c r="S56" s="87">
        <f>IF(O56=人员资源情况!C$2,1,0)</f>
        <v/>
      </c>
      <c r="T56" s="87">
        <f>IF(P56&gt;=人员资源情况!A$2,1,0)</f>
        <v/>
      </c>
      <c r="U56" s="87">
        <f>IF(Q56&lt;=人员资源情况!B$2,1,0)</f>
        <v/>
      </c>
      <c r="V56" s="88">
        <f>IF(T56*U56,Q56-P56,IF(T56&gt;U56,人员资源情况!B$2-P56,IF(T56&lt;U56,任务计划表!Q56-人员资源情况!A$2,0)))*R56*S56</f>
        <v/>
      </c>
      <c r="W56" s="9">
        <f>IF(V56&lt;0,0,V56)</f>
        <v/>
      </c>
      <c r="X56" s="0" t="inlineStr"/>
      <c r="Y56" s="0" t="inlineStr"/>
      <c r="Z56" s="0" t="inlineStr"/>
      <c r="AA56" s="0" t="inlineStr"/>
    </row>
    <row r="57" ht="14.25" customHeight="1" s="81">
      <c r="E57" s="89" t="n"/>
      <c r="F57" s="89" t="n"/>
      <c r="G57" s="32" t="n"/>
      <c r="H57" s="32" t="n"/>
      <c r="I57" s="89" t="n"/>
      <c r="J57" s="19" t="inlineStr">
        <is>
          <t>固件工程师-回归测试</t>
        </is>
      </c>
      <c r="K57" s="17" t="inlineStr">
        <is>
          <t xml:space="preserve"> @危才文(80018808)</t>
        </is>
      </c>
      <c r="L57" s="19" t="n">
        <v>46239</v>
      </c>
      <c r="M57" s="19" t="n">
        <v>46249</v>
      </c>
      <c r="N57" s="79" t="n">
        <v>2</v>
      </c>
      <c r="O57" s="3">
        <f>任务计划表!K57</f>
        <v/>
      </c>
      <c r="P57" s="11">
        <f>IF(IF(任务计划表!L57="/",人员资源情况!$A$2,L57)&gt;M57,M57,(IF(任务计划表!L57="/",人员资源情况!$A$2,L57)))</f>
        <v/>
      </c>
      <c r="Q57" s="11">
        <f>IF(M57="/",人员资源情况!$B$2,任务计划表!M57)</f>
        <v/>
      </c>
      <c r="R57" s="9">
        <f>任务计划表!N57</f>
        <v/>
      </c>
      <c r="S57" s="87">
        <f>IF(O57=人员资源情况!C$2,1,0)</f>
        <v/>
      </c>
      <c r="T57" s="87">
        <f>IF(P57&gt;=人员资源情况!A$2,1,0)</f>
        <v/>
      </c>
      <c r="U57" s="87">
        <f>IF(Q57&lt;=人员资源情况!B$2,1,0)</f>
        <v/>
      </c>
      <c r="V57" s="88">
        <f>IF(T57*U57,Q57-P57,IF(T57&gt;U57,人员资源情况!B$2-P57,IF(T57&lt;U57,任务计划表!Q57-人员资源情况!A$2,0)))*R57*S57</f>
        <v/>
      </c>
      <c r="W57" s="9">
        <f>IF(V57&lt;0,0,V57)</f>
        <v/>
      </c>
    </row>
    <row r="58" ht="14.25" customHeight="1" s="81">
      <c r="E58" s="89" t="n"/>
      <c r="F58" s="89" t="n"/>
      <c r="G58" s="32" t="n"/>
      <c r="H58" s="32" t="n"/>
      <c r="I58" s="90" t="n"/>
      <c r="J58" s="19" t="inlineStr">
        <is>
          <t>固件工程师-集成测试配合</t>
        </is>
      </c>
      <c r="K58" s="17" t="inlineStr">
        <is>
          <t xml:space="preserve"> @危才文(80018808)</t>
        </is>
      </c>
      <c r="L58" s="19" t="n">
        <v>46250</v>
      </c>
      <c r="M58" s="19" t="n">
        <v>46280</v>
      </c>
      <c r="N58" s="79" t="n">
        <v>1</v>
      </c>
      <c r="O58" s="3">
        <f>任务计划表!K58</f>
        <v/>
      </c>
      <c r="P58" s="11">
        <f>IF(IF(任务计划表!L58="/",人员资源情况!$A$2,L58)&gt;M58,M58,(IF(任务计划表!L58="/",人员资源情况!$A$2,L58)))</f>
        <v/>
      </c>
      <c r="Q58" s="11">
        <f>IF(M58="/",人员资源情况!$B$2,任务计划表!M58)</f>
        <v/>
      </c>
      <c r="R58" s="9">
        <f>任务计划表!N58</f>
        <v/>
      </c>
      <c r="S58" s="87">
        <f>IF(O58=人员资源情况!C$2,1,0)</f>
        <v/>
      </c>
      <c r="T58" s="87">
        <f>IF(P58&gt;=人员资源情况!A$2,1,0)</f>
        <v/>
      </c>
      <c r="U58" s="87">
        <f>IF(Q58&lt;=人员资源情况!B$2,1,0)</f>
        <v/>
      </c>
      <c r="V58" s="88">
        <f>IF(T58*U58,Q58-P58,IF(T58&gt;U58,人员资源情况!B$2-P58,IF(T58&lt;U58,任务计划表!Q58-人员资源情况!A$2,0)))*R58*S58</f>
        <v/>
      </c>
      <c r="W58" s="9">
        <f>IF(V58&lt;0,0,V58)</f>
        <v/>
      </c>
    </row>
    <row r="59" ht="14.25" customHeight="1" s="81">
      <c r="E59" s="89" t="n"/>
      <c r="F59" s="89" t="n"/>
      <c r="G59" s="32" t="n"/>
      <c r="H59" s="32" t="n"/>
      <c r="I59" s="33" t="n"/>
      <c r="J59" s="21" t="inlineStr">
        <is>
          <t>硬件工程师-lay out</t>
        </is>
      </c>
      <c r="K59" s="17" t="inlineStr">
        <is>
          <t>@童景顺(80004217)(童景顺)</t>
        </is>
      </c>
      <c r="L59" s="19" t="n"/>
      <c r="M59" s="19" t="n"/>
      <c r="N59" s="79" t="n">
        <v>7</v>
      </c>
      <c r="O59" s="3">
        <f>任务计划表!K59</f>
        <v/>
      </c>
      <c r="P59" s="11">
        <f>IF(IF(任务计划表!L59="/",人员资源情况!$A$2,L59)&gt;M59,M59,(IF(任务计划表!L59="/",人员资源情况!$A$2,L59)))</f>
        <v/>
      </c>
      <c r="Q59" s="11">
        <f>IF(M59="/",人员资源情况!$B$2,任务计划表!M59)</f>
        <v/>
      </c>
      <c r="R59" s="9">
        <f>任务计划表!N59</f>
        <v/>
      </c>
      <c r="S59" s="87">
        <f>IF(O59=人员资源情况!C$2,1,0)</f>
        <v/>
      </c>
      <c r="T59" s="87">
        <f>IF(P59&gt;=人员资源情况!A$2,1,0)</f>
        <v/>
      </c>
      <c r="U59" s="87">
        <f>IF(Q59&lt;=人员资源情况!B$2,1,0)</f>
        <v/>
      </c>
      <c r="V59" s="88">
        <f>IF(T59*U59,Q59-P59,IF(T59&gt;U59,人员资源情况!B$2-P59,IF(T59&lt;U59,任务计划表!Q59-人员资源情况!A$2,0)))*R59*S59</f>
        <v/>
      </c>
      <c r="W59" s="9">
        <f>IF(V59&lt;0,0,V59)</f>
        <v/>
      </c>
    </row>
    <row r="60" ht="14.25" customHeight="1" s="81">
      <c r="E60" s="89" t="n"/>
      <c r="F60" s="89" t="n"/>
      <c r="G60" s="32" t="n"/>
      <c r="H60" s="32" t="n"/>
      <c r="I60" s="33" t="n"/>
      <c r="J60" s="35" t="inlineStr">
        <is>
          <t>硬件工程师-天线破独测试（LoRa+LoRaWAN）</t>
        </is>
      </c>
      <c r="K60" s="17" t="inlineStr">
        <is>
          <t xml:space="preserve"> @姚金星(80019160)</t>
        </is>
      </c>
      <c r="L60" s="19" t="n"/>
      <c r="M60" s="19" t="n"/>
      <c r="N60" s="79" t="n">
        <v>7</v>
      </c>
      <c r="O60" s="3">
        <f>任务计划表!K60</f>
        <v/>
      </c>
      <c r="P60" s="11">
        <f>IF(IF(任务计划表!L60="/",人员资源情况!$A$2,L60)&gt;M60,M60,(IF(任务计划表!L60="/",人员资源情况!$A$2,L60)))</f>
        <v/>
      </c>
      <c r="Q60" s="11">
        <f>IF(M60="/",人员资源情况!$B$2,任务计划表!M60)</f>
        <v/>
      </c>
      <c r="R60" s="9">
        <f>任务计划表!N60</f>
        <v/>
      </c>
      <c r="S60" s="87">
        <f>IF(O60=人员资源情况!C$2,1,0)</f>
        <v/>
      </c>
      <c r="T60" s="87">
        <f>IF(P60&gt;=人员资源情况!A$2,1,0)</f>
        <v/>
      </c>
      <c r="U60" s="87">
        <f>IF(Q60&lt;=人员资源情况!B$2,1,0)</f>
        <v/>
      </c>
      <c r="V60" s="88">
        <f>IF(T60*U60,Q60-P60,IF(T60&gt;U60,人员资源情况!B$2-P60,IF(T60&lt;U60,任务计划表!Q60-人员资源情况!A$2,0)))*R60*S60</f>
        <v/>
      </c>
      <c r="W60" s="9">
        <f>IF(V60&lt;0,0,V60)</f>
        <v/>
      </c>
    </row>
    <row r="61" ht="14.25" customHeight="1" s="81">
      <c r="E61" s="90" t="n"/>
      <c r="F61" s="90" t="n"/>
      <c r="G61" s="32" t="n"/>
      <c r="H61" s="32" t="n"/>
      <c r="I61" s="33" t="n"/>
      <c r="J61" s="35" t="inlineStr">
        <is>
          <t>硬件工程师-天线破独测试（LoRa+LoRaWAN）</t>
        </is>
      </c>
      <c r="K61" s="28" t="inlineStr">
        <is>
          <t xml:space="preserve"> @舒杰(80018942)</t>
        </is>
      </c>
      <c r="L61" s="19" t="n"/>
      <c r="M61" s="19" t="n"/>
      <c r="N61" s="79" t="n"/>
      <c r="O61" s="3">
        <f>任务计划表!K61</f>
        <v/>
      </c>
      <c r="P61" s="11">
        <f>IF(IF(任务计划表!L61="/",人员资源情况!$A$2,L61)&gt;M61,M61,(IF(任务计划表!L61="/",人员资源情况!$A$2,L61)))</f>
        <v/>
      </c>
      <c r="Q61" s="11">
        <f>IF(M61="/",人员资源情况!$B$2,任务计划表!M61)</f>
        <v/>
      </c>
      <c r="R61" s="9">
        <f>任务计划表!N61</f>
        <v/>
      </c>
      <c r="S61" s="87">
        <f>IF(O61=人员资源情况!C$2,1,0)</f>
        <v/>
      </c>
      <c r="T61" s="87">
        <f>IF(P61&gt;=人员资源情况!A$2,1,0)</f>
        <v/>
      </c>
      <c r="U61" s="87">
        <f>IF(Q61&lt;=人员资源情况!B$2,1,0)</f>
        <v/>
      </c>
      <c r="V61" s="88">
        <f>IF(T61*U61,Q61-P61,IF(T61&gt;U61,人员资源情况!B$2-P61,IF(T61&lt;U61,任务计划表!Q61-人员资源情况!A$2,0)))*R61*S61</f>
        <v/>
      </c>
      <c r="W61" s="9">
        <f>IF(V61&lt;0,0,V61)</f>
        <v/>
      </c>
    </row>
    <row r="62" ht="14.25" customHeight="1" s="81">
      <c r="E62" s="33" t="inlineStr">
        <is>
          <t>产品竞争力提升</t>
        </is>
      </c>
      <c r="F62" s="33" t="inlineStr">
        <is>
          <t>DLMS -GCP</t>
        </is>
      </c>
      <c r="G62" s="32" t="n"/>
      <c r="H62" s="32" t="n"/>
      <c r="I62" s="33" t="inlineStr">
        <is>
          <t>GCP-BETA测试跟踪</t>
        </is>
      </c>
      <c r="J62" s="19" t="inlineStr">
        <is>
          <t>项目经理</t>
        </is>
      </c>
      <c r="K62" s="17" t="inlineStr">
        <is>
          <t xml:space="preserve"> @项家祺(80004213)(项家祺)</t>
        </is>
      </c>
      <c r="L62" s="19" t="n">
        <v>46264</v>
      </c>
      <c r="M62" s="19" t="n">
        <v>46303</v>
      </c>
      <c r="N62" s="79" t="n">
        <v>0.5</v>
      </c>
      <c r="O62" s="3">
        <f>任务计划表!K62</f>
        <v/>
      </c>
      <c r="P62" s="11">
        <f>IF(IF(任务计划表!L62="/",人员资源情况!$A$2,L62)&gt;M62,M62,(IF(任务计划表!L62="/",人员资源情况!$A$2,L62)))</f>
        <v/>
      </c>
      <c r="Q62" s="11">
        <f>IF(M62="/",人员资源情况!$B$2,任务计划表!M62)</f>
        <v/>
      </c>
      <c r="R62" s="9">
        <f>任务计划表!N62</f>
        <v/>
      </c>
      <c r="S62" s="87">
        <f>IF(O62=人员资源情况!C$2,1,0)</f>
        <v/>
      </c>
      <c r="T62" s="87">
        <f>IF(P62&gt;=人员资源情况!A$2,1,0)</f>
        <v/>
      </c>
      <c r="U62" s="87">
        <f>IF(Q62&lt;=人员资源情况!B$2,1,0)</f>
        <v/>
      </c>
      <c r="V62" s="88">
        <f>IF(T62*U62,Q62-P62,IF(T62&gt;U62,人员资源情况!B$2-P62,IF(T62&lt;U62,任务计划表!Q62-人员资源情况!A$2,0)))*R62*S62</f>
        <v/>
      </c>
      <c r="W62" s="9">
        <f>IF(V62&lt;0,0,V62)</f>
        <v/>
      </c>
    </row>
    <row r="63" ht="14.25" customHeight="1" s="81">
      <c r="E63" s="90" t="n"/>
      <c r="F63" s="90" t="n"/>
      <c r="G63" s="66" t="n"/>
      <c r="H63" s="66" t="n"/>
      <c r="I63" s="90" t="n"/>
      <c r="J63" s="27" t="inlineStr">
        <is>
          <t>DLMS-BETA版本功能调整</t>
        </is>
      </c>
      <c r="K63" s="17" t="inlineStr">
        <is>
          <t xml:space="preserve"> @袁琮欣(80015786)(袁琮欣)</t>
        </is>
      </c>
      <c r="L63" s="27" t="n">
        <v>46264</v>
      </c>
      <c r="M63" s="27" t="n">
        <v>46303</v>
      </c>
      <c r="N63" s="51" t="n">
        <v>0.5</v>
      </c>
      <c r="O63" s="3">
        <f>任务计划表!K63</f>
        <v/>
      </c>
      <c r="P63" s="11">
        <f>IF(IF(任务计划表!L63="/",人员资源情况!$A$2,L63)&gt;M63,M63,(IF(任务计划表!L63="/",人员资源情况!$A$2,L63)))</f>
        <v/>
      </c>
      <c r="Q63" s="11">
        <f>IF(M63="/",人员资源情况!$B$2,任务计划表!M63)</f>
        <v/>
      </c>
      <c r="R63" s="9">
        <f>任务计划表!N63</f>
        <v/>
      </c>
      <c r="S63" s="87">
        <f>IF(O63=人员资源情况!C$2,1,0)</f>
        <v/>
      </c>
      <c r="T63" s="87">
        <f>IF(P63&gt;=人员资源情况!A$2,1,0)</f>
        <v/>
      </c>
      <c r="U63" s="87">
        <f>IF(Q63&lt;=人员资源情况!B$2,1,0)</f>
        <v/>
      </c>
      <c r="V63" s="88">
        <f>IF(T63*U63,Q63-P63,IF(T63&gt;U63,人员资源情况!B$2-P63,IF(T63&lt;U63,任务计划表!Q63-人员资源情况!A$2,0)))*R63*S63</f>
        <v/>
      </c>
      <c r="W63" s="9">
        <f>IF(V63&lt;0,0,V63)</f>
        <v/>
      </c>
    </row>
    <row r="64" ht="14.25" customHeight="1" s="81">
      <c r="A64" s="0" t="inlineStr">
        <is>
          <t>已归档</t>
        </is>
      </c>
      <c r="E64" s="91" t="inlineStr">
        <is>
          <t>人员梯队建设</t>
        </is>
      </c>
      <c r="F64" s="79" t="inlineStr">
        <is>
          <t>应届生实习</t>
        </is>
      </c>
      <c r="G64" s="32" t="n"/>
      <c r="H64" s="32" t="n"/>
      <c r="I64" s="32" t="n"/>
      <c r="J64" s="19" t="inlineStr">
        <is>
          <t>生产轮岗</t>
        </is>
      </c>
      <c r="K64" s="17" t="inlineStr">
        <is>
          <t xml:space="preserve"> @姚金星(80019160)</t>
        </is>
      </c>
      <c r="L64" s="19" t="inlineStr">
        <is>
          <t>2026-07-21</t>
        </is>
      </c>
      <c r="M64" s="19" t="inlineStr">
        <is>
          <t>2026-07-24</t>
        </is>
      </c>
      <c r="N64" s="79" t="n">
        <v>8</v>
      </c>
      <c r="O64" s="3">
        <f>任务计划表!K64</f>
        <v/>
      </c>
      <c r="P64" s="11">
        <f>IF(IF(任务计划表!L64="/",人员资源情况!$A$2,L64)&gt;M64,M64,(IF(任务计划表!L64="/",人员资源情况!$A$2,L64)))</f>
        <v/>
      </c>
      <c r="Q64" s="11">
        <f>IF(M64="/",人员资源情况!$B$2,任务计划表!M64)</f>
        <v/>
      </c>
      <c r="R64" s="9">
        <f>任务计划表!N64</f>
        <v/>
      </c>
      <c r="S64" s="87">
        <f>IF(O64=人员资源情况!C$2,1,0)</f>
        <v/>
      </c>
      <c r="T64" s="87">
        <f>IF(P64&gt;=人员资源情况!A$2,1,0)</f>
        <v/>
      </c>
      <c r="U64" s="87">
        <f>IF(Q64&lt;=人员资源情况!B$2,1,0)</f>
        <v/>
      </c>
      <c r="V64" s="88">
        <f>IF(T64*U64,Q64-P64,IF(T64&gt;U64,人员资源情况!B$2-P64,IF(T64&lt;U64,任务计划表!Q64-人员资源情况!A$2,0)))*R64*S64</f>
        <v/>
      </c>
      <c r="W64" s="9">
        <f>IF(V64&lt;0,0,V64)</f>
        <v/>
      </c>
    </row>
    <row r="65" ht="14.25" customHeight="1" s="81">
      <c r="A65" t="inlineStr">
        <is>
          <t>已归档</t>
        </is>
      </c>
      <c r="E65" s="89" t="n"/>
      <c r="F65" s="89" t="n"/>
      <c r="G65" s="32" t="n"/>
      <c r="H65" s="32" t="n"/>
      <c r="I65" s="89" t="n"/>
      <c r="J65" s="19" t="inlineStr">
        <is>
          <t>生产轮岗</t>
        </is>
      </c>
      <c r="K65" s="28" t="inlineStr">
        <is>
          <t xml:space="preserve"> @舒杰(80018942)</t>
        </is>
      </c>
      <c r="L65" s="19" t="inlineStr">
        <is>
          <t>2026-07-20</t>
        </is>
      </c>
      <c r="M65" s="19" t="inlineStr">
        <is>
          <t>2026-07-24</t>
        </is>
      </c>
      <c r="N65" s="79" t="n">
        <v>8</v>
      </c>
      <c r="O65" s="3">
        <f>任务计划表!K65</f>
        <v/>
      </c>
      <c r="P65" s="11">
        <f>IF(IF(任务计划表!L65="/",人员资源情况!$A$2,L65)&gt;M65,M65,(IF(任务计划表!L65="/",人员资源情况!$A$2,L65)))</f>
        <v/>
      </c>
      <c r="Q65" s="11">
        <f>IF(M65="/",人员资源情况!$B$2,任务计划表!M65)</f>
        <v/>
      </c>
      <c r="R65" s="9">
        <f>任务计划表!N65</f>
        <v/>
      </c>
      <c r="S65" s="87">
        <f>IF(O65=人员资源情况!C$2,1,0)</f>
        <v/>
      </c>
      <c r="T65" s="87">
        <f>IF(P65&gt;=人员资源情况!A$2,1,0)</f>
        <v/>
      </c>
      <c r="U65" s="87">
        <f>IF(Q65&lt;=人员资源情况!B$2,1,0)</f>
        <v/>
      </c>
      <c r="V65" s="88">
        <f>IF(T65*U65,Q65-P65,IF(T65&gt;U65,人员资源情况!B$2-P65,IF(T65&lt;U65,任务计划表!Q65-人员资源情况!A$2,0)))*R65*S65</f>
        <v/>
      </c>
      <c r="W65" s="9">
        <f>IF(V65&lt;0,0,V65)</f>
        <v/>
      </c>
    </row>
    <row r="66" ht="14.25" customHeight="1" s="81">
      <c r="A66" s="0" t="inlineStr">
        <is>
          <t>已归档</t>
        </is>
      </c>
      <c r="E66" s="89" t="n"/>
      <c r="F66" s="89" t="n"/>
      <c r="G66" s="32" t="n"/>
      <c r="H66" s="32" t="n"/>
      <c r="I66" s="89" t="n"/>
      <c r="J66" s="19" t="inlineStr">
        <is>
          <t>生产轮岗</t>
        </is>
      </c>
      <c r="K66" s="17" t="inlineStr">
        <is>
          <t xml:space="preserve"> @魏殷浩(80019157)</t>
        </is>
      </c>
      <c r="L66" s="19" t="inlineStr">
        <is>
          <t>2026-07-21</t>
        </is>
      </c>
      <c r="M66" s="19" t="inlineStr">
        <is>
          <t>2026-07-24</t>
        </is>
      </c>
      <c r="N66" s="79" t="n">
        <v>8</v>
      </c>
      <c r="O66" s="3">
        <f>任务计划表!K66</f>
        <v/>
      </c>
      <c r="P66" s="11">
        <f>IF(IF(任务计划表!L66="/",人员资源情况!$A$2,L66)&gt;M66,M66,(IF(任务计划表!L66="/",人员资源情况!$A$2,L66)))</f>
        <v/>
      </c>
      <c r="Q66" s="11">
        <f>IF(M66="/",人员资源情况!$B$2,任务计划表!M66)</f>
        <v/>
      </c>
      <c r="R66" s="9">
        <f>任务计划表!N66</f>
        <v/>
      </c>
      <c r="S66" s="87">
        <f>IF(O66=人员资源情况!C$2,1,0)</f>
        <v/>
      </c>
      <c r="T66" s="87">
        <f>IF(P66&gt;=人员资源情况!A$2,1,0)</f>
        <v/>
      </c>
      <c r="U66" s="87">
        <f>IF(Q66&lt;=人员资源情况!B$2,1,0)</f>
        <v/>
      </c>
      <c r="V66" s="88">
        <f>IF(T66*U66,Q66-P66,IF(T66&gt;U66,人员资源情况!B$2-P66,IF(T66&lt;U66,任务计划表!Q66-人员资源情况!A$2,0)))*R66*S66</f>
        <v/>
      </c>
      <c r="W66" s="9">
        <f>IF(V66&lt;0,0,V66)</f>
        <v/>
      </c>
    </row>
    <row r="67" ht="14.25" customHeight="1" s="81">
      <c r="E67" s="89" t="n"/>
      <c r="F67" s="90" t="n"/>
      <c r="G67" s="32" t="n"/>
      <c r="H67" s="32" t="n"/>
      <c r="I67" s="90" t="n"/>
      <c r="J67" s="19" t="inlineStr">
        <is>
          <t>生产轮岗</t>
        </is>
      </c>
      <c r="K67" s="17" t="inlineStr">
        <is>
          <t xml:space="preserve"> @张国庆(80019159)</t>
        </is>
      </c>
      <c r="L67" s="32" t="inlineStr">
        <is>
          <t>2026-07-21</t>
        </is>
      </c>
      <c r="M67" s="19" t="inlineStr">
        <is>
          <t>2026-07-24</t>
        </is>
      </c>
      <c r="N67" s="79" t="n">
        <v>8</v>
      </c>
      <c r="O67" s="3">
        <f>任务计划表!K67</f>
        <v/>
      </c>
      <c r="P67" s="11">
        <f>IF(IF(任务计划表!L67="/",人员资源情况!$A$2,L67)&gt;M67,M67,(IF(任务计划表!L67="/",人员资源情况!$A$2,L67)))</f>
        <v/>
      </c>
      <c r="Q67" s="11">
        <f>IF(M67="/",人员资源情况!$B$2,任务计划表!M67)</f>
        <v/>
      </c>
      <c r="R67" s="9">
        <f>任务计划表!N67</f>
        <v/>
      </c>
      <c r="S67" s="87">
        <f>IF(O67=人员资源情况!C$2,1,0)</f>
        <v/>
      </c>
      <c r="T67" s="87">
        <f>IF(P67&gt;=人员资源情况!A$2,1,0)</f>
        <v/>
      </c>
      <c r="U67" s="87">
        <f>IF(Q67&lt;=人员资源情况!B$2,1,0)</f>
        <v/>
      </c>
      <c r="V67" s="88">
        <f>IF(T67*U67,Q67-P67,IF(T67&gt;U67,人员资源情况!B$2-P67,IF(T67&lt;U67,任务计划表!Q67-人员资源情况!A$2,0)))*R67*S67</f>
        <v/>
      </c>
      <c r="W67" s="9">
        <f>IF(V67&lt;0,0,V67)</f>
        <v/>
      </c>
    </row>
    <row r="68" ht="14.25" customHeight="1" s="81">
      <c r="E68" s="89" t="n"/>
      <c r="F68" s="79" t="inlineStr">
        <is>
          <t>日常工作</t>
        </is>
      </c>
      <c r="G68" s="36" t="n"/>
      <c r="H68" s="32" t="n"/>
      <c r="I68" s="32" t="n"/>
      <c r="J68" s="19" t="inlineStr">
        <is>
          <t>硬件工程师-Bom、产品ID维护</t>
        </is>
      </c>
      <c r="K68" s="17" t="inlineStr">
        <is>
          <t>@童景顺(80004217)(童景顺)</t>
        </is>
      </c>
      <c r="L68" s="32" t="inlineStr">
        <is>
          <t>/</t>
        </is>
      </c>
      <c r="M68" s="32" t="inlineStr">
        <is>
          <t>/</t>
        </is>
      </c>
      <c r="N68" s="33" t="n">
        <v>1</v>
      </c>
      <c r="O68" s="3">
        <f>任务计划表!K68</f>
        <v/>
      </c>
      <c r="P68" s="11">
        <f>IF(IF(任务计划表!L68="/",人员资源情况!$A$2,L68)&gt;M68,M68,(IF(任务计划表!L68="/",人员资源情况!$A$2,L68)))</f>
        <v/>
      </c>
      <c r="Q68" s="11">
        <f>IF(M68="/",人员资源情况!$B$2,任务计划表!M68)</f>
        <v/>
      </c>
      <c r="R68" s="9">
        <f>任务计划表!N68</f>
        <v/>
      </c>
      <c r="S68" s="87">
        <f>IF(O68=人员资源情况!C$2,1,0)</f>
        <v/>
      </c>
      <c r="T68" s="87">
        <f>IF(P68&gt;=人员资源情况!A$2,1,0)</f>
        <v/>
      </c>
      <c r="U68" s="87">
        <f>IF(Q68&lt;=人员资源情况!B$2,1,0)</f>
        <v/>
      </c>
      <c r="V68" s="88">
        <f>IF(T68*U68,Q68-P68,IF(T68&gt;U68,人员资源情况!B$2-P68,IF(T68&lt;U68,任务计划表!Q68-人员资源情况!A$2,0)))*R68*S68</f>
        <v/>
      </c>
      <c r="W68" s="9">
        <f>IF(V68&lt;0,0,V68)</f>
        <v/>
      </c>
    </row>
    <row r="69" ht="14.25" customHeight="1" s="81">
      <c r="E69" s="89" t="n"/>
      <c r="F69" s="89" t="n"/>
      <c r="G69" s="37" t="n"/>
      <c r="H69" s="37" t="n"/>
      <c r="I69" s="89" t="n"/>
      <c r="J69" s="19" t="inlineStr">
        <is>
          <t>硬件工程师-Bom、产品ID规则学习</t>
        </is>
      </c>
      <c r="K69" s="17" t="inlineStr">
        <is>
          <t xml:space="preserve"> @姚金星(80019160)</t>
        </is>
      </c>
      <c r="L69" s="19" t="n">
        <v>46223</v>
      </c>
      <c r="M69" s="19" t="n">
        <v>46244</v>
      </c>
      <c r="N69" s="33" t="n">
        <v>2</v>
      </c>
      <c r="O69" s="3">
        <f>任务计划表!K69</f>
        <v/>
      </c>
      <c r="P69" s="11">
        <f>IF(IF(任务计划表!L69="/",人员资源情况!$A$2,L69)&gt;M69,M69,(IF(任务计划表!L69="/",人员资源情况!$A$2,L69)))</f>
        <v/>
      </c>
      <c r="Q69" s="11">
        <f>IF(M69="/",人员资源情况!$B$2,任务计划表!M69)</f>
        <v/>
      </c>
      <c r="R69" s="9">
        <f>任务计划表!N69</f>
        <v/>
      </c>
      <c r="S69" s="87">
        <f>IF(O69=人员资源情况!C$2,1,0)</f>
        <v/>
      </c>
      <c r="T69" s="87">
        <f>IF(P69&gt;=人员资源情况!A$2,1,0)</f>
        <v/>
      </c>
      <c r="U69" s="87">
        <f>IF(Q69&lt;=人员资源情况!B$2,1,0)</f>
        <v/>
      </c>
      <c r="V69" s="88">
        <f>IF(T69*U69,Q69-P69,IF(T69&gt;U69,人员资源情况!B$2-P69,IF(T69&lt;U69,任务计划表!Q69-人员资源情况!A$2,0)))*R69*S69</f>
        <v/>
      </c>
      <c r="W69" s="9">
        <f>IF(V69&lt;0,0,V69)</f>
        <v/>
      </c>
    </row>
    <row r="70" ht="14.25" customHeight="1" s="81">
      <c r="E70" s="89" t="n"/>
      <c r="F70" s="89" t="n"/>
      <c r="G70" s="32" t="n"/>
      <c r="H70" s="32" t="n"/>
      <c r="I70" s="90" t="n"/>
      <c r="J70" s="19" t="inlineStr">
        <is>
          <t>硬件工程师-Bom、产品ID规则学习</t>
        </is>
      </c>
      <c r="K70" s="28" t="inlineStr">
        <is>
          <t xml:space="preserve"> @舒杰(80018942)</t>
        </is>
      </c>
      <c r="L70" s="19" t="n">
        <v>46223</v>
      </c>
      <c r="M70" s="19" t="n">
        <v>46244</v>
      </c>
      <c r="N70" s="33" t="n">
        <v>2</v>
      </c>
      <c r="O70" s="3">
        <f>任务计划表!K70</f>
        <v/>
      </c>
      <c r="P70" s="11">
        <f>IF(IF(任务计划表!L70="/",人员资源情况!$A$2,L70)&gt;M70,M70,(IF(任务计划表!L70="/",人员资源情况!$A$2,L70)))</f>
        <v/>
      </c>
      <c r="Q70" s="11">
        <f>IF(M70="/",人员资源情况!$B$2,任务计划表!M70)</f>
        <v/>
      </c>
      <c r="R70" s="9">
        <f>任务计划表!N70</f>
        <v/>
      </c>
      <c r="S70" s="87">
        <f>IF(O70=人员资源情况!C$2,1,0)</f>
        <v/>
      </c>
      <c r="T70" s="87">
        <f>IF(P70&gt;=人员资源情况!A$2,1,0)</f>
        <v/>
      </c>
      <c r="U70" s="87">
        <f>IF(Q70&lt;=人员资源情况!B$2,1,0)</f>
        <v/>
      </c>
      <c r="V70" s="88">
        <f>IF(T70*U70,Q70-P70,IF(T70&gt;U70,人员资源情况!B$2-P70,IF(T70&lt;U70,任务计划表!Q70-人员资源情况!A$2,0)))*R70*S70</f>
        <v/>
      </c>
      <c r="W70" s="9">
        <f>IF(V70&lt;0,0,V70)</f>
        <v/>
      </c>
    </row>
    <row r="71" ht="14.25" customHeight="1" s="81">
      <c r="E71" s="89" t="n"/>
      <c r="F71" s="89" t="n"/>
      <c r="G71" s="66" t="n"/>
      <c r="H71" s="66" t="n"/>
      <c r="I71" s="66" t="n"/>
      <c r="J71" s="66" t="inlineStr">
        <is>
          <t>HFP-代码架构学习</t>
        </is>
      </c>
      <c r="K71" s="17" t="inlineStr">
        <is>
          <t xml:space="preserve"> @魏殷浩(80019157)</t>
        </is>
      </c>
      <c r="L71" s="19" t="n">
        <v>46223</v>
      </c>
      <c r="M71" s="27" t="n">
        <v>46244</v>
      </c>
      <c r="N71" s="33" t="n">
        <v>1</v>
      </c>
      <c r="O71" s="3">
        <f>任务计划表!K71</f>
        <v/>
      </c>
      <c r="P71" s="11">
        <f>IF(IF(任务计划表!L71="/",人员资源情况!$A$2,L71)&gt;M71,M71,(IF(任务计划表!L71="/",人员资源情况!$A$2,L71)))</f>
        <v/>
      </c>
      <c r="Q71" s="11">
        <f>IF(M71="/",人员资源情况!$B$2,任务计划表!M71)</f>
        <v/>
      </c>
      <c r="R71" s="9">
        <f>任务计划表!N71</f>
        <v/>
      </c>
      <c r="S71" s="87">
        <f>IF(O71=人员资源情况!C$2,1,0)</f>
        <v/>
      </c>
      <c r="T71" s="87">
        <f>IF(P71&gt;=人员资源情况!A$2,1,0)</f>
        <v/>
      </c>
      <c r="U71" s="87">
        <f>IF(Q71&lt;=人员资源情况!B$2,1,0)</f>
        <v/>
      </c>
      <c r="V71" s="88">
        <f>IF(T71*U71,Q71-P71,IF(T71&gt;U71,人员资源情况!B$2-P71,IF(T71&lt;U71,任务计划表!Q71-人员资源情况!A$2,0)))*R71*S71</f>
        <v/>
      </c>
      <c r="W71" s="9">
        <f>IF(V71&lt;0,0,V71)</f>
        <v/>
      </c>
    </row>
    <row r="72" ht="14.25" customHeight="1" s="81">
      <c r="E72" s="90" t="n"/>
      <c r="F72" s="90" t="n"/>
      <c r="G72" s="66" t="n"/>
      <c r="H72" s="66" t="n"/>
      <c r="I72" s="66" t="n"/>
      <c r="J72" s="66" t="inlineStr">
        <is>
          <t>HFP-代码架构学习</t>
        </is>
      </c>
      <c r="K72" s="17" t="inlineStr">
        <is>
          <t xml:space="preserve"> @张国庆(80019159)</t>
        </is>
      </c>
      <c r="L72" s="38" t="n">
        <v>46223</v>
      </c>
      <c r="M72" s="27" t="n">
        <v>46244</v>
      </c>
      <c r="N72" s="31" t="n">
        <v>1</v>
      </c>
      <c r="O72" s="3">
        <f>任务计划表!K72</f>
        <v/>
      </c>
      <c r="P72" s="11">
        <f>IF(IF(任务计划表!L72="/",人员资源情况!$A$2,L72)&gt;M72,M72,(IF(任务计划表!L72="/",人员资源情况!$A$2,L72)))</f>
        <v/>
      </c>
      <c r="Q72" s="11">
        <f>IF(M72="/",人员资源情况!$B$2,任务计划表!M72)</f>
        <v/>
      </c>
      <c r="R72" s="9">
        <f>任务计划表!N72</f>
        <v/>
      </c>
      <c r="S72" s="87">
        <f>IF(O72=人员资源情况!C$2,1,0)</f>
        <v/>
      </c>
      <c r="T72" s="87">
        <f>IF(P72&gt;=人员资源情况!A$2,1,0)</f>
        <v/>
      </c>
      <c r="U72" s="87">
        <f>IF(Q72&lt;=人员资源情况!B$2,1,0)</f>
        <v/>
      </c>
      <c r="V72" s="88">
        <f>IF(T72*U72,Q72-P72,IF(T72&gt;U72,人员资源情况!B$2-P72,IF(T72&lt;U72,任务计划表!Q72-人员资源情况!A$2,0)))*R72*S72</f>
        <v/>
      </c>
      <c r="W72" s="9">
        <f>IF(V72&lt;0,0,V72)</f>
        <v/>
      </c>
    </row>
    <row r="73" ht="14.25" customHeight="1" s="81">
      <c r="E73" s="76" t="inlineStr">
        <is>
          <t>日常工作</t>
        </is>
      </c>
      <c r="F73" s="32" t="inlineStr">
        <is>
          <t>升级工具制作</t>
        </is>
      </c>
      <c r="G73" s="32" t="n"/>
      <c r="H73" s="32" t="n"/>
      <c r="I73" s="32" t="n"/>
      <c r="J73" s="32" t="n"/>
      <c r="K73" s="17" t="inlineStr">
        <is>
          <t xml:space="preserve"> @魏殷浩(80019157)</t>
        </is>
      </c>
      <c r="L73" s="19" t="n">
        <v>46235</v>
      </c>
      <c r="M73" s="27" t="n">
        <v>46265</v>
      </c>
      <c r="N73" s="33" t="n">
        <v>6</v>
      </c>
      <c r="O73" s="3">
        <f>任务计划表!K73</f>
        <v/>
      </c>
      <c r="P73" s="11">
        <f>IF(IF(任务计划表!L73="/",人员资源情况!$A$2,L73)&gt;M73,M73,(IF(任务计划表!L73="/",人员资源情况!$A$2,L73)))</f>
        <v/>
      </c>
      <c r="Q73" s="11">
        <f>IF(M73="/",人员资源情况!$B$2,任务计划表!M73)</f>
        <v/>
      </c>
      <c r="R73" s="9">
        <f>任务计划表!N73</f>
        <v/>
      </c>
      <c r="S73" s="87">
        <f>IF(O73=人员资源情况!C$2,1,0)</f>
        <v/>
      </c>
      <c r="T73" s="87">
        <f>IF(P73&gt;=人员资源情况!A$2,1,0)</f>
        <v/>
      </c>
      <c r="U73" s="87">
        <f>IF(Q73&lt;=人员资源情况!B$2,1,0)</f>
        <v/>
      </c>
      <c r="V73" s="88">
        <f>IF(T73*U73,Q73-P73,IF(T73&gt;U73,人员资源情况!B$2-P73,IF(T73&lt;U73,任务计划表!Q73-人员资源情况!A$2,0)))*R73*S73</f>
        <v/>
      </c>
      <c r="W73" s="9">
        <f>IF(V73&lt;0,0,V73)</f>
        <v/>
      </c>
    </row>
    <row r="74" ht="14.25" customHeight="1" s="81">
      <c r="E74" s="89" t="n"/>
      <c r="F74" s="32" t="n"/>
      <c r="G74" s="32" t="n"/>
      <c r="H74" s="32" t="n"/>
      <c r="I74" s="32" t="n"/>
      <c r="J74" s="32" t="n"/>
      <c r="K74" s="32" t="n"/>
      <c r="L74" s="32" t="n"/>
      <c r="M74" s="19" t="n"/>
      <c r="N74" s="32" t="n"/>
      <c r="O74" s="3">
        <f>任务计划表!K74</f>
        <v/>
      </c>
      <c r="P74" s="11">
        <f>IF(IF(任务计划表!L74="/",人员资源情况!$A$2,L74)&gt;M74,M74,(IF(任务计划表!L74="/",人员资源情况!$A$2,L74)))</f>
        <v/>
      </c>
      <c r="Q74" s="11">
        <f>IF(M74="/",人员资源情况!$B$2,任务计划表!M74)</f>
        <v/>
      </c>
      <c r="R74" s="9">
        <f>任务计划表!N74</f>
        <v/>
      </c>
      <c r="S74" s="87">
        <f>IF(O74=人员资源情况!C$2,1,0)</f>
        <v/>
      </c>
      <c r="T74" s="87">
        <f>IF(P74&gt;=人员资源情况!A$2,1,0)</f>
        <v/>
      </c>
      <c r="U74" s="87">
        <f>IF(Q74&lt;=人员资源情况!B$2,1,0)</f>
        <v/>
      </c>
      <c r="V74" s="88">
        <f>IF(T74*U74,Q74-P74,IF(T74&gt;U74,人员资源情况!B$2-P74,IF(T74&lt;U74,任务计划表!Q74-人员资源情况!A$2,0)))*R74*S74</f>
        <v/>
      </c>
      <c r="W74" s="9">
        <f>IF(V74&lt;0,0,V74)</f>
        <v/>
      </c>
    </row>
    <row r="75" ht="14.25" customHeight="1" s="81"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3">
        <f>任务计划表!K75</f>
        <v/>
      </c>
      <c r="P75" s="11">
        <f>IF(IF(任务计划表!L75="/",人员资源情况!$A$2,L75)&gt;M75,M75,(IF(任务计划表!L75="/",人员资源情况!$A$2,L75)))</f>
        <v/>
      </c>
      <c r="Q75" s="11">
        <f>IF(M75="/",人员资源情况!$B$2,任务计划表!M75)</f>
        <v/>
      </c>
      <c r="R75" s="9">
        <f>任务计划表!N75</f>
        <v/>
      </c>
      <c r="S75" s="87">
        <f>IF(O75=人员资源情况!C$2,1,0)</f>
        <v/>
      </c>
      <c r="T75" s="87">
        <f>IF(P75&gt;=人员资源情况!A$2,1,0)</f>
        <v/>
      </c>
      <c r="U75" s="87">
        <f>IF(Q75&lt;=人员资源情况!B$2,1,0)</f>
        <v/>
      </c>
      <c r="V75" s="88">
        <f>IF(T75*U75,Q75-P75,IF(T75&gt;U75,人员资源情况!B$2-P75,IF(T75&lt;U75,任务计划表!Q75-人员资源情况!A$2,0)))*R75*S75</f>
        <v/>
      </c>
      <c r="W75" s="9">
        <f>IF(V75&lt;0,0,V75)</f>
        <v/>
      </c>
    </row>
    <row r="76">
      <c r="B76" s="0" t="inlineStr">
        <is>
          <t>已删除</t>
        </is>
      </c>
      <c r="E76" s="0" t="inlineStr">
        <is>
          <t>测试部门</t>
        </is>
      </c>
      <c r="F76" s="0" t="inlineStr">
        <is>
          <t>测试项目A</t>
        </is>
      </c>
      <c r="G76" s="0" t="inlineStr">
        <is>
          <t>2026-07-01</t>
        </is>
      </c>
      <c r="H76" s="0" t="inlineStr">
        <is>
          <t>2026-07-30</t>
        </is>
      </c>
      <c r="I76" s="0" t="inlineStr">
        <is>
          <t>E2E测试项目</t>
        </is>
      </c>
      <c r="J76" s="0" t="inlineStr">
        <is>
          <t>测试</t>
        </is>
      </c>
      <c r="K76" s="0" t="inlineStr">
        <is>
          <t>测试人员</t>
        </is>
      </c>
      <c r="L76" s="0" t="inlineStr">
        <is>
          <t>2026-07-01</t>
        </is>
      </c>
      <c r="M76" s="0" t="inlineStr">
        <is>
          <t>2026-07-30</t>
        </is>
      </c>
      <c r="N76" s="0" t="n">
        <v>8</v>
      </c>
    </row>
    <row r="77">
      <c r="B77" s="0" t="inlineStr">
        <is>
          <t>已删除</t>
        </is>
      </c>
      <c r="E77" s="0" t="inlineStr">
        <is>
          <t>测试部门</t>
        </is>
      </c>
      <c r="F77" s="0" t="inlineStr">
        <is>
          <t>测试项目A</t>
        </is>
      </c>
      <c r="G77" s="0" t="inlineStr">
        <is>
          <t>2026-07-01</t>
        </is>
      </c>
      <c r="H77" s="0" t="inlineStr">
        <is>
          <t>2026-07-15</t>
        </is>
      </c>
      <c r="I77" s="0" t="inlineStr">
        <is>
          <t>E2E测试-延期项目A</t>
        </is>
      </c>
      <c r="J77" s="0" t="inlineStr">
        <is>
          <t>测试</t>
        </is>
      </c>
      <c r="K77" s="0" t="inlineStr">
        <is>
          <t>测试人员A</t>
        </is>
      </c>
      <c r="L77" s="0" t="inlineStr">
        <is>
          <t>2026-07-01</t>
        </is>
      </c>
      <c r="M77" s="0" t="inlineStr">
        <is>
          <t>2026-07-10</t>
        </is>
      </c>
      <c r="N77" s="0" t="n">
        <v>8</v>
      </c>
    </row>
    <row r="78">
      <c r="B78" s="0" t="inlineStr">
        <is>
          <t>已删除</t>
        </is>
      </c>
      <c r="E78" s="0" t="inlineStr">
        <is>
          <t>测试部门</t>
        </is>
      </c>
      <c r="F78" s="0" t="inlineStr">
        <is>
          <t>测试项目B</t>
        </is>
      </c>
      <c r="G78" s="0" t="inlineStr">
        <is>
          <t>2026-08-01</t>
        </is>
      </c>
      <c r="H78" s="0" t="inlineStr">
        <is>
          <t>2026-08-30</t>
        </is>
      </c>
      <c r="I78" s="0" t="inlineStr">
        <is>
          <t>E2E测试-项目B（待删除）</t>
        </is>
      </c>
      <c r="J78" s="0" t="inlineStr">
        <is>
          <t>测试</t>
        </is>
      </c>
      <c r="K78" s="0" t="inlineStr">
        <is>
          <t>测试人员B</t>
        </is>
      </c>
      <c r="L78" s="0" t="inlineStr">
        <is>
          <t>2026-08-01</t>
        </is>
      </c>
      <c r="M78" s="0" t="inlineStr">
        <is>
          <t>2026-08-15</t>
        </is>
      </c>
      <c r="N78" s="0" t="n">
        <v>6</v>
      </c>
    </row>
    <row r="79">
      <c r="A79" s="0" t="inlineStr"/>
      <c r="B79" s="0" t="inlineStr">
        <is>
          <t>已删除</t>
        </is>
      </c>
      <c r="E79" s="0" t="inlineStr">
        <is>
          <t>测试部门</t>
        </is>
      </c>
      <c r="F79" s="0" t="inlineStr">
        <is>
          <t>测试项目C</t>
        </is>
      </c>
      <c r="G79" s="0" t="inlineStr">
        <is>
          <t>2026-09-01</t>
        </is>
      </c>
      <c r="H79" s="0" t="inlineStr">
        <is>
          <t>2026-09-30</t>
        </is>
      </c>
      <c r="I79" s="0" t="inlineStr">
        <is>
          <t>E2E测试-项目C（待归档）</t>
        </is>
      </c>
      <c r="J79" s="0" t="inlineStr">
        <is>
          <t>测试</t>
        </is>
      </c>
      <c r="K79" s="0" t="inlineStr">
        <is>
          <t>测试人员C</t>
        </is>
      </c>
      <c r="L79" s="0" t="inlineStr">
        <is>
          <t>2026-09-01</t>
        </is>
      </c>
      <c r="M79" s="0" t="inlineStr">
        <is>
          <t>2026-09-15</t>
        </is>
      </c>
      <c r="N79" s="0" t="n">
        <v>7</v>
      </c>
    </row>
    <row r="80">
      <c r="A80" s="0" t="inlineStr"/>
      <c r="B80" s="0" t="inlineStr">
        <is>
          <t>已删除</t>
        </is>
      </c>
      <c r="E80" s="0" t="inlineStr">
        <is>
          <t>test</t>
        </is>
      </c>
      <c r="F80" s="0" t="inlineStr">
        <is>
          <t>TEST WEB</t>
        </is>
      </c>
      <c r="I80" s="0" t="inlineStr">
        <is>
          <t>归档</t>
        </is>
      </c>
      <c r="J80" s="0" t="inlineStr">
        <is>
          <t>项目经理</t>
        </is>
      </c>
      <c r="K80" s="0" t="inlineStr">
        <is>
          <t>项家祺</t>
        </is>
      </c>
      <c r="L80" s="0" t="inlineStr">
        <is>
          <t>2026-07-21</t>
        </is>
      </c>
      <c r="M80" s="0" t="inlineStr">
        <is>
          <t>2026-07-21</t>
        </is>
      </c>
      <c r="N80" s="0" t="n">
        <v>8</v>
      </c>
    </row>
    <row r="81">
      <c r="B81" s="0" t="inlineStr">
        <is>
          <t>已删除</t>
        </is>
      </c>
      <c r="E81" s="0" t="inlineStr">
        <is>
          <t>测试部门</t>
        </is>
      </c>
      <c r="F81" s="0" t="inlineStr">
        <is>
          <t>消失测试项目A</t>
        </is>
      </c>
      <c r="G81" s="0" t="inlineStr">
        <is>
          <t>2026-07-01</t>
        </is>
      </c>
      <c r="H81" s="0" t="inlineStr">
        <is>
          <t>2026-07-30</t>
        </is>
      </c>
      <c r="I81" s="0" t="inlineStr">
        <is>
          <t>测试重新登录后是否消失</t>
        </is>
      </c>
      <c r="J81" s="0" t="inlineStr">
        <is>
          <t>测试</t>
        </is>
      </c>
      <c r="K81" s="0" t="inlineStr">
        <is>
          <t>测试人员</t>
        </is>
      </c>
      <c r="L81" s="0" t="inlineStr">
        <is>
          <t>2026-07-01</t>
        </is>
      </c>
      <c r="M81" s="0" t="inlineStr">
        <is>
          <t>2026-07-30</t>
        </is>
      </c>
      <c r="N81" s="0" t="n">
        <v>8</v>
      </c>
    </row>
    <row r="82">
      <c r="B82" s="0" t="inlineStr">
        <is>
          <t>已删除</t>
        </is>
      </c>
      <c r="E82" s="0" t="inlineStr">
        <is>
          <t>测试部门</t>
        </is>
      </c>
      <c r="F82" s="0" t="inlineStr">
        <is>
          <t>测试项目A</t>
        </is>
      </c>
      <c r="G82" s="0" t="inlineStr">
        <is>
          <t>2026-07-01</t>
        </is>
      </c>
      <c r="H82" s="0" t="inlineStr">
        <is>
          <t>2026-07-15</t>
        </is>
      </c>
      <c r="I82" s="0" t="inlineStr">
        <is>
          <t>E2E测试-延期项目A</t>
        </is>
      </c>
      <c r="J82" s="0" t="inlineStr">
        <is>
          <t>测试</t>
        </is>
      </c>
      <c r="K82" s="0" t="inlineStr">
        <is>
          <t>测试人员A</t>
        </is>
      </c>
      <c r="L82" s="0" t="inlineStr">
        <is>
          <t>2026-07-01</t>
        </is>
      </c>
      <c r="M82" s="0" t="inlineStr">
        <is>
          <t>2026-07-10</t>
        </is>
      </c>
      <c r="N82" s="0" t="n">
        <v>8</v>
      </c>
    </row>
    <row r="83">
      <c r="B83" s="0" t="inlineStr">
        <is>
          <t>已删除</t>
        </is>
      </c>
      <c r="E83" s="0" t="inlineStr">
        <is>
          <t>测试部门</t>
        </is>
      </c>
      <c r="F83" s="0" t="inlineStr">
        <is>
          <t>测试项目B</t>
        </is>
      </c>
      <c r="G83" s="0" t="inlineStr">
        <is>
          <t>2026-08-01</t>
        </is>
      </c>
      <c r="H83" s="0" t="inlineStr">
        <is>
          <t>2026-08-30</t>
        </is>
      </c>
      <c r="I83" s="0" t="inlineStr">
        <is>
          <t>E2E测试-项目B（待删除）</t>
        </is>
      </c>
      <c r="J83" s="0" t="inlineStr">
        <is>
          <t>测试</t>
        </is>
      </c>
      <c r="K83" s="0" t="inlineStr">
        <is>
          <t>测试人员B</t>
        </is>
      </c>
      <c r="L83" s="0" t="inlineStr">
        <is>
          <t>2026-08-01</t>
        </is>
      </c>
      <c r="M83" s="0" t="inlineStr">
        <is>
          <t>2026-08-15</t>
        </is>
      </c>
      <c r="N83" s="0" t="n">
        <v>6</v>
      </c>
    </row>
    <row r="84">
      <c r="A84" s="0" t="inlineStr"/>
      <c r="B84" s="0" t="inlineStr">
        <is>
          <t>已删除</t>
        </is>
      </c>
      <c r="E84" s="0" t="inlineStr">
        <is>
          <t>测试部门</t>
        </is>
      </c>
      <c r="F84" s="0" t="inlineStr">
        <is>
          <t>测试项目C</t>
        </is>
      </c>
      <c r="G84" s="0" t="inlineStr">
        <is>
          <t>2026-09-01</t>
        </is>
      </c>
      <c r="H84" s="0" t="inlineStr">
        <is>
          <t>2026-09-30</t>
        </is>
      </c>
      <c r="I84" s="0" t="inlineStr">
        <is>
          <t>E2E测试-项目C（待归档）</t>
        </is>
      </c>
      <c r="J84" s="0" t="inlineStr">
        <is>
          <t>测试</t>
        </is>
      </c>
      <c r="K84" s="0" t="inlineStr">
        <is>
          <t>测试人员C</t>
        </is>
      </c>
      <c r="L84" s="0" t="inlineStr">
        <is>
          <t>2026-09-01</t>
        </is>
      </c>
      <c r="M84" s="0" t="inlineStr">
        <is>
          <t>2026-09-15</t>
        </is>
      </c>
      <c r="N84" s="0" t="n">
        <v>7</v>
      </c>
    </row>
    <row r="85">
      <c r="B85" s="0" t="inlineStr">
        <is>
          <t>已删除</t>
        </is>
      </c>
      <c r="E85" s="0" t="inlineStr">
        <is>
          <t>测试</t>
        </is>
      </c>
      <c r="F85" s="0" t="inlineStr">
        <is>
          <t>TEST WEB</t>
        </is>
      </c>
      <c r="I85" s="0" t="inlineStr">
        <is>
          <t>新增</t>
        </is>
      </c>
      <c r="J85" s="0" t="inlineStr">
        <is>
          <t>项目经理</t>
        </is>
      </c>
      <c r="K85" s="0" t="inlineStr">
        <is>
          <t>张丹</t>
        </is>
      </c>
      <c r="L85" s="0" t="inlineStr">
        <is>
          <t>2026-07-21</t>
        </is>
      </c>
      <c r="M85" s="0" t="inlineStr">
        <is>
          <t>2026-07-21</t>
        </is>
      </c>
      <c r="N85" s="0" t="n">
        <v>8</v>
      </c>
    </row>
    <row r="86">
      <c r="B86" s="0" t="inlineStr">
        <is>
          <t>已删除</t>
        </is>
      </c>
      <c r="E86" s="0" t="inlineStr">
        <is>
          <t>测试</t>
        </is>
      </c>
      <c r="F86" s="0" t="inlineStr">
        <is>
          <t>TEST WEB</t>
        </is>
      </c>
      <c r="I86" s="0" t="inlineStr">
        <is>
          <t>新增</t>
        </is>
      </c>
      <c r="J86" s="0" t="inlineStr">
        <is>
          <t>项目经理</t>
        </is>
      </c>
      <c r="K86" s="0" t="inlineStr">
        <is>
          <t>刘璠</t>
        </is>
      </c>
      <c r="L86" s="0" t="inlineStr">
        <is>
          <t>2026-07-21</t>
        </is>
      </c>
      <c r="M86" s="0" t="inlineStr">
        <is>
          <t>2026-07-21</t>
        </is>
      </c>
      <c r="N86" s="0" t="n">
        <v>8</v>
      </c>
    </row>
    <row r="87">
      <c r="A87" s="0" t="inlineStr">
        <is>
          <t>已归档</t>
        </is>
      </c>
      <c r="B87" s="0" t="inlineStr">
        <is>
          <t>已删除</t>
        </is>
      </c>
      <c r="E87" s="0" t="inlineStr">
        <is>
          <t>测试</t>
        </is>
      </c>
      <c r="F87" s="0" t="inlineStr">
        <is>
          <t>TEST WEB</t>
        </is>
      </c>
      <c r="I87" s="0" t="inlineStr">
        <is>
          <t>新增</t>
        </is>
      </c>
      <c r="J87" s="0" t="inlineStr">
        <is>
          <t>项目经理</t>
        </is>
      </c>
      <c r="K87" s="0" t="inlineStr">
        <is>
          <t>张丹</t>
        </is>
      </c>
      <c r="L87" s="0" t="inlineStr">
        <is>
          <t>2026-07-21</t>
        </is>
      </c>
      <c r="M87" s="0" t="inlineStr">
        <is>
          <t>2026-07-21</t>
        </is>
      </c>
      <c r="N87" s="0" t="n">
        <v>8</v>
      </c>
    </row>
    <row r="88">
      <c r="A88" s="0" t="inlineStr">
        <is>
          <t>已归档</t>
        </is>
      </c>
      <c r="B88" s="0" t="inlineStr">
        <is>
          <t>已删除</t>
        </is>
      </c>
      <c r="E88" s="0" t="inlineStr">
        <is>
          <t>测试</t>
        </is>
      </c>
      <c r="F88" s="0" t="inlineStr">
        <is>
          <t>TEST WEB</t>
        </is>
      </c>
      <c r="I88" s="0" t="inlineStr">
        <is>
          <t>新增</t>
        </is>
      </c>
      <c r="J88" s="0" t="inlineStr">
        <is>
          <t>项目经理</t>
        </is>
      </c>
      <c r="K88" s="0" t="inlineStr">
        <is>
          <t>张丹</t>
        </is>
      </c>
      <c r="L88" s="0" t="inlineStr">
        <is>
          <t>2026-07-21</t>
        </is>
      </c>
      <c r="M88" s="0" t="inlineStr">
        <is>
          <t>2026-07-21</t>
        </is>
      </c>
      <c r="N88" s="0" t="n">
        <v>8</v>
      </c>
    </row>
    <row r="89">
      <c r="B89" s="0" t="inlineStr">
        <is>
          <t>已删除</t>
        </is>
      </c>
      <c r="E89" s="0" t="inlineStr">
        <is>
          <t>测试</t>
        </is>
      </c>
      <c r="F89" s="0" t="inlineStr">
        <is>
          <t>TEST WEB</t>
        </is>
      </c>
      <c r="I89" s="0" t="inlineStr">
        <is>
          <t>删除</t>
        </is>
      </c>
      <c r="J89" s="0" t="inlineStr">
        <is>
          <t>项目经理</t>
        </is>
      </c>
      <c r="K89" s="0" t="inlineStr">
        <is>
          <t>项家祺</t>
        </is>
      </c>
      <c r="L89" s="0" t="inlineStr">
        <is>
          <t>2026-07-21</t>
        </is>
      </c>
      <c r="M89" s="0" t="inlineStr">
        <is>
          <t>2026-07-21</t>
        </is>
      </c>
      <c r="N89" s="0" t="n">
        <v>8</v>
      </c>
    </row>
    <row r="90">
      <c r="A90" s="0" t="inlineStr">
        <is>
          <t>已归档</t>
        </is>
      </c>
      <c r="B90" s="0" t="inlineStr">
        <is>
          <t>已删除</t>
        </is>
      </c>
      <c r="E90" s="0" t="inlineStr">
        <is>
          <t>测试</t>
        </is>
      </c>
      <c r="F90" s="0" t="inlineStr">
        <is>
          <t>TEST WEB</t>
        </is>
      </c>
      <c r="I90" s="0" t="inlineStr">
        <is>
          <t>归档</t>
        </is>
      </c>
      <c r="J90" s="0" t="inlineStr">
        <is>
          <t>项目经理</t>
        </is>
      </c>
      <c r="K90" s="0" t="inlineStr">
        <is>
          <t>刘璠</t>
        </is>
      </c>
      <c r="L90" s="0" t="inlineStr">
        <is>
          <t>2026-07-21</t>
        </is>
      </c>
      <c r="M90" s="0" t="inlineStr">
        <is>
          <t>2026-07-21</t>
        </is>
      </c>
      <c r="N90" s="0" t="n">
        <v>8</v>
      </c>
    </row>
    <row r="91">
      <c r="B91" s="0" t="inlineStr">
        <is>
          <t>已删除</t>
        </is>
      </c>
      <c r="E91" s="0" t="inlineStr">
        <is>
          <t>测试</t>
        </is>
      </c>
      <c r="F91" s="0" t="inlineStr">
        <is>
          <t>TEST WEB</t>
        </is>
      </c>
      <c r="I91" s="0" t="inlineStr">
        <is>
          <t>新增</t>
        </is>
      </c>
      <c r="J91" s="0" t="inlineStr">
        <is>
          <t>项目CHAT</t>
        </is>
      </c>
      <c r="K91" s="0" t="inlineStr">
        <is>
          <t>项家祺</t>
        </is>
      </c>
      <c r="L91" s="0" t="inlineStr">
        <is>
          <t>2026-07-21</t>
        </is>
      </c>
      <c r="M91" s="0" t="inlineStr">
        <is>
          <t>2026-07-22</t>
        </is>
      </c>
      <c r="N91" s="0" t="n">
        <v>8</v>
      </c>
    </row>
    <row r="92">
      <c r="B92" s="0" t="inlineStr">
        <is>
          <t>已删除</t>
        </is>
      </c>
      <c r="E92" s="0" t="inlineStr">
        <is>
          <t>亚洲</t>
        </is>
      </c>
      <c r="F92" s="0" t="inlineStr">
        <is>
          <t>巴勒斯坦超声户表二开</t>
        </is>
      </c>
      <c r="G92" s="0" t="inlineStr">
        <is>
          <t>2026-07-09</t>
        </is>
      </c>
      <c r="H92" s="0" t="inlineStr">
        <is>
          <t>2026-08-15</t>
        </is>
      </c>
      <c r="I92" s="0" t="inlineStr">
        <is>
          <t>TR1</t>
        </is>
      </c>
      <c r="J92" s="0" t="inlineStr">
        <is>
          <t>需求导入</t>
        </is>
      </c>
      <c r="K92" s="0" t="inlineStr">
        <is>
          <t>@毛文豪(80018842)</t>
        </is>
      </c>
      <c r="L92" s="0" t="inlineStr">
        <is>
          <t>2026-07-09</t>
        </is>
      </c>
      <c r="M92" s="0" t="inlineStr">
        <is>
          <t>2026-07-10</t>
        </is>
      </c>
      <c r="N92" s="0" t="n">
        <v>0</v>
      </c>
      <c r="O92" s="0">
        <f>任务计划表!K92</f>
        <v/>
      </c>
      <c r="P92" s="0">
        <f>IF(IF(任务计划表!L92="/",人员资源情况!$A$2,L92)&gt;M92,M92,(IF(任务计划表!L92="/",人员资源情况!$A$2,L92)))</f>
        <v/>
      </c>
      <c r="Q92" s="0">
        <f>IF(M92="/",人员资源情况!$B$2,任务计划表!M92)</f>
        <v/>
      </c>
      <c r="R92" s="0">
        <f>任务计划表!N92</f>
        <v/>
      </c>
      <c r="S92" s="0">
        <f>IF(O92=人员资源情况!C$2,1,0)</f>
        <v/>
      </c>
      <c r="T92" s="0">
        <f>IF(P92&gt;=人员资源情况!A$2,1,0)</f>
        <v/>
      </c>
      <c r="U92" s="0">
        <f>IF(Q92&lt;=人员资源情况!B$2,1,0)</f>
        <v/>
      </c>
      <c r="V92" s="0">
        <f>IF(T92*U92,Q92-P92,IF(T92&gt;U92,人员资源情况!B$2-P92,IF(T92&lt;U92,任务计划表!Q92-人员资源情况!A$2,0)))*R92*S92</f>
        <v/>
      </c>
      <c r="W92" s="0">
        <f>IF(V92&lt;0,0,V92)</f>
        <v/>
      </c>
    </row>
    <row r="93">
      <c r="B93" s="0" t="inlineStr">
        <is>
          <t>已删除</t>
        </is>
      </c>
      <c r="E93" s="0" t="inlineStr">
        <is>
          <t>亚洲</t>
        </is>
      </c>
      <c r="F93" s="0" t="inlineStr">
        <is>
          <t>巴勒斯坦超声户表二开</t>
        </is>
      </c>
      <c r="G93" s="0" t="inlineStr">
        <is>
          <t>2026-07-09</t>
        </is>
      </c>
      <c r="H93" s="0" t="inlineStr">
        <is>
          <t>2026-08-15</t>
        </is>
      </c>
      <c r="I93" s="0" t="inlineStr">
        <is>
          <t>TR1</t>
        </is>
      </c>
      <c r="J93" s="0" t="inlineStr">
        <is>
          <t>需求评审</t>
        </is>
      </c>
      <c r="K93" s="0" t="inlineStr">
        <is>
          <t>@毛文豪(80018842)</t>
        </is>
      </c>
      <c r="L93" s="0" t="inlineStr">
        <is>
          <t>2026-07-09</t>
        </is>
      </c>
      <c r="M93" s="0" t="inlineStr">
        <is>
          <t>2026-07-10</t>
        </is>
      </c>
      <c r="N93" s="0" t="n">
        <v>0</v>
      </c>
      <c r="O93" s="0">
        <f>任务计划表!K93</f>
        <v/>
      </c>
      <c r="P93" s="0">
        <f>IF(IF(任务计划表!L93="/",人员资源情况!$A$2,L93)&gt;M93,M93,(IF(任务计划表!L93="/",人员资源情况!$A$2,L93)))</f>
        <v/>
      </c>
      <c r="Q93" s="0">
        <f>IF(M93="/",人员资源情况!$B$2,任务计划表!M93)</f>
        <v/>
      </c>
      <c r="R93" s="0">
        <f>任务计划表!N93</f>
        <v/>
      </c>
      <c r="S93" s="0">
        <f>IF(O93=人员资源情况!C$2,1,0)</f>
        <v/>
      </c>
      <c r="T93" s="0">
        <f>IF(P93&gt;=人员资源情况!A$2,1,0)</f>
        <v/>
      </c>
      <c r="U93" s="0">
        <f>IF(Q93&lt;=人员资源情况!B$2,1,0)</f>
        <v/>
      </c>
      <c r="V93" s="0">
        <f>IF(T93*U93,Q93-P93,IF(T93&gt;U93,人员资源情况!B$2-P93,IF(T93&lt;U93,任务计划表!Q93-人员资源情况!A$2,0)))*R93*S93</f>
        <v/>
      </c>
      <c r="W93" s="0">
        <f>IF(V93&lt;0,0,V93)</f>
        <v/>
      </c>
    </row>
    <row r="94">
      <c r="B94" s="0" t="inlineStr">
        <is>
          <t>已删除</t>
        </is>
      </c>
      <c r="E94" s="0" t="inlineStr">
        <is>
          <t>亚洲</t>
        </is>
      </c>
      <c r="F94" s="0" t="inlineStr">
        <is>
          <t>巴勒斯坦超声户表二开</t>
        </is>
      </c>
      <c r="G94" s="0" t="inlineStr">
        <is>
          <t>2026-07-09</t>
        </is>
      </c>
      <c r="H94" s="0" t="inlineStr">
        <is>
          <t>2026-08-15</t>
        </is>
      </c>
      <c r="I94" s="0" t="inlineStr">
        <is>
          <t>TR3</t>
        </is>
      </c>
      <c r="J94" s="0" t="inlineStr">
        <is>
          <t>巴勒斯坦二开SE文档评审</t>
        </is>
      </c>
      <c r="K94" s="0" t="inlineStr">
        <is>
          <t>@毛文豪(80018842)</t>
        </is>
      </c>
      <c r="L94" s="0" t="inlineStr">
        <is>
          <t>2026-07-21</t>
        </is>
      </c>
      <c r="M94" s="0" t="inlineStr">
        <is>
          <t>2026-07-23</t>
        </is>
      </c>
      <c r="N94" s="0" t="n">
        <v>8</v>
      </c>
      <c r="O94" s="0">
        <f>任务计划表!K94</f>
        <v/>
      </c>
      <c r="P94" s="0">
        <f>IF(IF(任务计划表!L94="/",人员资源情况!$A$2,L94)&gt;M94,M94,(IF(任务计划表!L94="/",人员资源情况!$A$2,L94)))</f>
        <v/>
      </c>
      <c r="Q94" s="0">
        <f>IF(M94="/",人员资源情况!$B$2,任务计划表!M94)</f>
        <v/>
      </c>
      <c r="R94" s="0">
        <f>任务计划表!N94</f>
        <v/>
      </c>
      <c r="S94" s="0">
        <f>IF(O94=人员资源情况!C$2,1,0)</f>
        <v/>
      </c>
      <c r="T94" s="0">
        <f>IF(P94&gt;=人员资源情况!A$2,1,0)</f>
        <v/>
      </c>
      <c r="U94" s="0">
        <f>IF(Q94&lt;=人员资源情况!B$2,1,0)</f>
        <v/>
      </c>
      <c r="V94" s="0">
        <f>IF(T94*U94,Q94-P94,IF(T94&gt;U94,人员资源情况!B$2-P94,IF(T94&lt;U94,任务计划表!Q94-人员资源情况!A$2,0)))*R94*S94</f>
        <v/>
      </c>
      <c r="W94" s="0">
        <f>IF(V94&lt;0,0,V94)</f>
        <v/>
      </c>
    </row>
    <row r="95">
      <c r="B95" s="0" t="inlineStr">
        <is>
          <t>已删除</t>
        </is>
      </c>
      <c r="E95" s="0" t="inlineStr">
        <is>
          <t>亚洲</t>
        </is>
      </c>
      <c r="F95" s="0" t="inlineStr">
        <is>
          <t>巴勒斯坦超声户表二开</t>
        </is>
      </c>
      <c r="G95" s="0" t="inlineStr">
        <is>
          <t>2026-07-09</t>
        </is>
      </c>
      <c r="H95" s="0" t="inlineStr">
        <is>
          <t>2026-08-15</t>
        </is>
      </c>
      <c r="I95" s="0" t="inlineStr">
        <is>
          <t>TR4</t>
        </is>
      </c>
      <c r="J95" s="0" t="inlineStr">
        <is>
          <t>水表固件代码编写</t>
        </is>
      </c>
      <c r="K95" s="0" t="inlineStr">
        <is>
          <t>@毛文豪(80018842)</t>
        </is>
      </c>
      <c r="L95" s="0" t="inlineStr">
        <is>
          <t>2026-07-23</t>
        </is>
      </c>
      <c r="M95" s="0" t="inlineStr">
        <is>
          <t>2026-07-25</t>
        </is>
      </c>
      <c r="N95" s="0" t="n">
        <v>6</v>
      </c>
      <c r="O95" s="0">
        <f>任务计划表!K95</f>
        <v/>
      </c>
      <c r="P95" s="0">
        <f>IF(IF(任务计划表!L95="/",人员资源情况!$A$2,L95)&gt;M95,M95,(IF(任务计划表!L95="/",人员资源情况!$A$2,L95)))</f>
        <v/>
      </c>
      <c r="Q95" s="0">
        <f>IF(M95="/",人员资源情况!$B$2,任务计划表!M95)</f>
        <v/>
      </c>
      <c r="R95" s="0">
        <f>任务计划表!N95</f>
        <v/>
      </c>
      <c r="S95" s="0">
        <f>IF(O95=人员资源情况!C$2,1,0)</f>
        <v/>
      </c>
      <c r="T95" s="0">
        <f>IF(P95&gt;=人员资源情况!A$2,1,0)</f>
        <v/>
      </c>
      <c r="U95" s="0">
        <f>IF(Q95&lt;=人员资源情况!B$2,1,0)</f>
        <v/>
      </c>
      <c r="V95" s="0">
        <f>IF(T95*U95,Q95-P95,IF(T95&gt;U95,人员资源情况!B$2-P95,IF(T95&lt;U95,任务计划表!Q95-人员资源情况!A$2,0)))*R95*S95</f>
        <v/>
      </c>
      <c r="W95" s="0">
        <f>IF(V95&lt;0,0,V95)</f>
        <v/>
      </c>
    </row>
    <row r="96">
      <c r="B96" s="0" t="inlineStr">
        <is>
          <t>已删除</t>
        </is>
      </c>
      <c r="E96" s="0" t="inlineStr">
        <is>
          <t>亚洲</t>
        </is>
      </c>
      <c r="F96" s="0" t="inlineStr">
        <is>
          <t>巴勒斯坦超声户表二开</t>
        </is>
      </c>
      <c r="G96" s="0" t="inlineStr">
        <is>
          <t>2026-07-09</t>
        </is>
      </c>
      <c r="H96" s="0" t="inlineStr">
        <is>
          <t>2026-08-15</t>
        </is>
      </c>
      <c r="I96" s="0" t="inlineStr">
        <is>
          <t>TR4</t>
        </is>
      </c>
      <c r="J96" s="0" t="inlineStr">
        <is>
          <t>水表固件自测</t>
        </is>
      </c>
      <c r="K96" s="0" t="inlineStr">
        <is>
          <t>@毛文豪(80018842)</t>
        </is>
      </c>
      <c r="L96" s="0" t="inlineStr">
        <is>
          <t>2026-07-27</t>
        </is>
      </c>
      <c r="M96" s="0" t="inlineStr">
        <is>
          <t>2026-07-29</t>
        </is>
      </c>
      <c r="N96" s="0" t="n">
        <v>6</v>
      </c>
      <c r="O96" s="0">
        <f>任务计划表!K96</f>
        <v/>
      </c>
      <c r="P96" s="0">
        <f>IF(IF(任务计划表!L96="/",人员资源情况!$A$2,L96)&gt;M96,M96,(IF(任务计划表!L96="/",人员资源情况!$A$2,L96)))</f>
        <v/>
      </c>
      <c r="Q96" s="0">
        <f>IF(M96="/",人员资源情况!$B$2,任务计划表!M96)</f>
        <v/>
      </c>
      <c r="R96" s="0">
        <f>任务计划表!N96</f>
        <v/>
      </c>
      <c r="S96" s="0">
        <f>IF(O96=人员资源情况!C$2,1,0)</f>
        <v/>
      </c>
      <c r="T96" s="0">
        <f>IF(P96&gt;=人员资源情况!A$2,1,0)</f>
        <v/>
      </c>
      <c r="U96" s="0">
        <f>IF(Q96&lt;=人员资源情况!B$2,1,0)</f>
        <v/>
      </c>
      <c r="V96" s="0">
        <f>IF(T96*U96,Q96-P96,IF(T96&gt;U96,人员资源情况!B$2-P96,IF(T96&lt;U96,任务计划表!Q96-人员资源情况!A$2,0)))*R96*S96</f>
        <v/>
      </c>
      <c r="W96" s="0">
        <f>IF(V96&lt;0,0,V96)</f>
        <v/>
      </c>
    </row>
    <row r="97">
      <c r="B97" s="0" t="inlineStr">
        <is>
          <t>已删除</t>
        </is>
      </c>
      <c r="E97" s="0" t="inlineStr">
        <is>
          <t>亚洲</t>
        </is>
      </c>
      <c r="F97" s="0" t="inlineStr">
        <is>
          <t>巴勒斯坦超声户表二开</t>
        </is>
      </c>
      <c r="G97" s="0" t="inlineStr">
        <is>
          <t>2026-07-09</t>
        </is>
      </c>
      <c r="H97" s="0" t="inlineStr">
        <is>
          <t>2026-08-15</t>
        </is>
      </c>
      <c r="I97" s="0" t="inlineStr">
        <is>
          <t>TR4</t>
        </is>
      </c>
      <c r="J97" s="0" t="inlineStr">
        <is>
          <t>CIU固件代码编写</t>
        </is>
      </c>
      <c r="K97" s="0" t="inlineStr">
        <is>
          <t>@毛文豪(80018842)</t>
        </is>
      </c>
      <c r="L97" s="0" t="inlineStr">
        <is>
          <t>2026-07-29</t>
        </is>
      </c>
      <c r="M97" s="0" t="inlineStr">
        <is>
          <t>2026-07-30</t>
        </is>
      </c>
      <c r="N97" s="0" t="n">
        <v>6</v>
      </c>
      <c r="O97" s="0">
        <f>任务计划表!K97</f>
        <v/>
      </c>
      <c r="P97" s="0">
        <f>IF(IF(任务计划表!L97="/",人员资源情况!$A$2,L97)&gt;M97,M97,(IF(任务计划表!L97="/",人员资源情况!$A$2,L97)))</f>
        <v/>
      </c>
      <c r="Q97" s="0">
        <f>IF(M97="/",人员资源情况!$B$2,任务计划表!M97)</f>
        <v/>
      </c>
      <c r="R97" s="0">
        <f>任务计划表!N97</f>
        <v/>
      </c>
      <c r="S97" s="0">
        <f>IF(O97=人员资源情况!C$2,1,0)</f>
        <v/>
      </c>
      <c r="T97" s="0">
        <f>IF(P97&gt;=人员资源情况!A$2,1,0)</f>
        <v/>
      </c>
      <c r="U97" s="0">
        <f>IF(Q97&lt;=人员资源情况!B$2,1,0)</f>
        <v/>
      </c>
      <c r="V97" s="0">
        <f>IF(T97*U97,Q97-P97,IF(T97&gt;U97,人员资源情况!B$2-P97,IF(T97&lt;U97,任务计划表!Q97-人员资源情况!A$2,0)))*R97*S97</f>
        <v/>
      </c>
      <c r="W97" s="0">
        <f>IF(V97&lt;0,0,V97)</f>
        <v/>
      </c>
    </row>
    <row r="98">
      <c r="B98" s="0" t="inlineStr">
        <is>
          <t>已删除</t>
        </is>
      </c>
      <c r="E98" s="0" t="inlineStr">
        <is>
          <t>亚洲</t>
        </is>
      </c>
      <c r="F98" s="0" t="inlineStr">
        <is>
          <t>巴勒斯坦超声户表二开</t>
        </is>
      </c>
      <c r="G98" s="0" t="inlineStr">
        <is>
          <t>2026-07-09</t>
        </is>
      </c>
      <c r="H98" s="0" t="inlineStr">
        <is>
          <t>2026-08-15</t>
        </is>
      </c>
      <c r="I98" s="0" t="inlineStr">
        <is>
          <t>TR4A</t>
        </is>
      </c>
      <c r="J98" s="0" t="inlineStr">
        <is>
          <t>样机制作</t>
        </is>
      </c>
      <c r="K98" s="0" t="inlineStr">
        <is>
          <t xml:space="preserve"> @文春英</t>
        </is>
      </c>
      <c r="L98" s="0" t="inlineStr">
        <is>
          <t>2026-07-30</t>
        </is>
      </c>
      <c r="M98" s="0" t="inlineStr">
        <is>
          <t>2026-08-03</t>
        </is>
      </c>
      <c r="N98" s="0" t="n">
        <v>2</v>
      </c>
      <c r="O98" s="0">
        <f>任务计划表!K98</f>
        <v/>
      </c>
      <c r="P98" s="0">
        <f>IF(IF(任务计划表!L98="/",人员资源情况!$A$2,L98)&gt;M98,M98,(IF(任务计划表!L98="/",人员资源情况!$A$2,L98)))</f>
        <v/>
      </c>
      <c r="Q98" s="0">
        <f>IF(M98="/",人员资源情况!$B$2,任务计划表!M98)</f>
        <v/>
      </c>
      <c r="R98" s="0">
        <f>任务计划表!N98</f>
        <v/>
      </c>
      <c r="S98" s="0">
        <f>IF(O98=人员资源情况!C$2,1,0)</f>
        <v/>
      </c>
      <c r="T98" s="0">
        <f>IF(P98&gt;=人员资源情况!A$2,1,0)</f>
        <v/>
      </c>
      <c r="U98" s="0">
        <f>IF(Q98&lt;=人员资源情况!B$2,1,0)</f>
        <v/>
      </c>
      <c r="V98" s="0">
        <f>IF(T98*U98,Q98-P98,IF(T98&gt;U98,人员资源情况!B$2-P98,IF(T98&lt;U98,任务计划表!Q98-人员资源情况!A$2,0)))*R98*S98</f>
        <v/>
      </c>
      <c r="W98" s="0">
        <f>IF(V98&lt;0,0,V98)</f>
        <v/>
      </c>
    </row>
    <row r="99">
      <c r="B99" s="0" t="inlineStr">
        <is>
          <t>已删除</t>
        </is>
      </c>
      <c r="E99" s="0" t="inlineStr">
        <is>
          <t>亚洲</t>
        </is>
      </c>
      <c r="F99" s="0" t="inlineStr">
        <is>
          <t>巴勒斯坦超声户表二开</t>
        </is>
      </c>
      <c r="G99" s="0" t="inlineStr">
        <is>
          <t>2026-07-09</t>
        </is>
      </c>
      <c r="H99" s="0" t="inlineStr">
        <is>
          <t>2026-08-15</t>
        </is>
      </c>
      <c r="I99" s="0" t="inlineStr">
        <is>
          <t>TR4</t>
        </is>
      </c>
      <c r="J99" s="0" t="inlineStr">
        <is>
          <t>测试用例评审</t>
        </is>
      </c>
      <c r="K99" s="0" t="inlineStr">
        <is>
          <t xml:space="preserve"> @袁知正</t>
        </is>
      </c>
      <c r="L99" s="0" t="inlineStr">
        <is>
          <t>2026-07-23</t>
        </is>
      </c>
      <c r="M99" s="0" t="inlineStr">
        <is>
          <t>2026-07-29</t>
        </is>
      </c>
      <c r="N99" s="0" t="n">
        <v>2</v>
      </c>
      <c r="O99" s="0">
        <f>任务计划表!K99</f>
        <v/>
      </c>
      <c r="P99" s="0">
        <f>IF(IF(任务计划表!L99="/",人员资源情况!$A$2,L99)&gt;M99,M99,(IF(任务计划表!L99="/",人员资源情况!$A$2,L99)))</f>
        <v/>
      </c>
      <c r="Q99" s="0">
        <f>IF(M99="/",人员资源情况!$B$2,任务计划表!M99)</f>
        <v/>
      </c>
      <c r="R99" s="0">
        <f>任务计划表!N99</f>
        <v/>
      </c>
      <c r="S99" s="0">
        <f>IF(O99=人员资源情况!C$2,1,0)</f>
        <v/>
      </c>
      <c r="T99" s="0">
        <f>IF(P99&gt;=人员资源情况!A$2,1,0)</f>
        <v/>
      </c>
      <c r="U99" s="0">
        <f>IF(Q99&lt;=人员资源情况!B$2,1,0)</f>
        <v/>
      </c>
      <c r="V99" s="0">
        <f>IF(T99*U99,Q99-P99,IF(T99&gt;U99,人员资源情况!B$2-P99,IF(T99&lt;U99,任务计划表!Q99-人员资源情况!A$2,0)))*R99*S99</f>
        <v/>
      </c>
      <c r="W99" s="0">
        <f>IF(V99&lt;0,0,V99)</f>
        <v/>
      </c>
    </row>
    <row r="100">
      <c r="B100" s="0" t="inlineStr">
        <is>
          <t>已删除</t>
        </is>
      </c>
      <c r="E100" s="0" t="inlineStr">
        <is>
          <t>亚洲</t>
        </is>
      </c>
      <c r="F100" s="0" t="inlineStr">
        <is>
          <t>巴勒斯坦超声户表二开</t>
        </is>
      </c>
      <c r="G100" s="0" t="inlineStr">
        <is>
          <t>2026-07-09</t>
        </is>
      </c>
      <c r="H100" s="0" t="inlineStr">
        <is>
          <t>2026-08-15</t>
        </is>
      </c>
      <c r="I100" s="0" t="inlineStr">
        <is>
          <t>TR4A</t>
        </is>
      </c>
      <c r="J100" s="0" t="inlineStr">
        <is>
          <t>测试报告</t>
        </is>
      </c>
      <c r="K100" s="0" t="inlineStr">
        <is>
          <t>@袁知正</t>
        </is>
      </c>
      <c r="L100" s="0" t="inlineStr">
        <is>
          <t>2026-07-30</t>
        </is>
      </c>
      <c r="M100" s="0" t="inlineStr">
        <is>
          <t>2026-08-12</t>
        </is>
      </c>
      <c r="N100" s="0" t="n">
        <v>8</v>
      </c>
      <c r="O100" s="0">
        <f>任务计划表!K100</f>
        <v/>
      </c>
      <c r="P100" s="0">
        <f>IF(IF(任务计划表!L100="/",人员资源情况!$A$2,L100)&gt;M100,M100,(IF(任务计划表!L100="/",人员资源情况!$A$2,L100)))</f>
        <v/>
      </c>
      <c r="Q100" s="0">
        <f>IF(M100="/",人员资源情况!$B$2,任务计划表!M100)</f>
        <v/>
      </c>
      <c r="R100" s="0">
        <f>任务计划表!N100</f>
        <v/>
      </c>
      <c r="S100" s="0">
        <f>IF(O100=人员资源情况!C$2,1,0)</f>
        <v/>
      </c>
      <c r="T100" s="0">
        <f>IF(P100&gt;=人员资源情况!A$2,1,0)</f>
        <v/>
      </c>
      <c r="U100" s="0">
        <f>IF(Q100&lt;=人员资源情况!B$2,1,0)</f>
        <v/>
      </c>
      <c r="V100" s="0">
        <f>IF(T100*U100,Q100-P100,IF(T100&gt;U100,人员资源情况!B$2-P100,IF(T100&lt;U100,任务计划表!Q100-人员资源情况!A$2,0)))*R100*S100</f>
        <v/>
      </c>
      <c r="W100" s="0">
        <f>IF(V100&lt;0,0,V100)</f>
        <v/>
      </c>
    </row>
    <row r="101">
      <c r="B101" s="0" t="inlineStr">
        <is>
          <t>已删除</t>
        </is>
      </c>
      <c r="E101" s="0" t="inlineStr">
        <is>
          <t>亚洲</t>
        </is>
      </c>
      <c r="F101" s="0" t="inlineStr">
        <is>
          <t>巴勒斯坦超声户表二开</t>
        </is>
      </c>
      <c r="G101" s="0" t="inlineStr">
        <is>
          <t>2026-07-09</t>
        </is>
      </c>
      <c r="H101" s="0" t="inlineStr">
        <is>
          <t>2026-08-15</t>
        </is>
      </c>
      <c r="I101" s="0" t="inlineStr">
        <is>
          <t>TR4A</t>
        </is>
      </c>
      <c r="J101" s="0" t="inlineStr">
        <is>
          <t>测试报告评审</t>
        </is>
      </c>
      <c r="K101" s="0" t="inlineStr">
        <is>
          <t>@袁知正</t>
        </is>
      </c>
      <c r="L101" s="0" t="inlineStr">
        <is>
          <t>2026-08-12</t>
        </is>
      </c>
      <c r="M101" s="0" t="inlineStr">
        <is>
          <t>2026-08-13</t>
        </is>
      </c>
      <c r="N101" s="0" t="n">
        <v>1</v>
      </c>
      <c r="O101" s="0">
        <f>任务计划表!K101</f>
        <v/>
      </c>
      <c r="P101" s="0">
        <f>IF(IF(任务计划表!L101="/",人员资源情况!$A$2,L101)&gt;M101,M101,(IF(任务计划表!L101="/",人员资源情况!$A$2,L101)))</f>
        <v/>
      </c>
      <c r="Q101" s="0">
        <f>IF(M101="/",人员资源情况!$B$2,任务计划表!M101)</f>
        <v/>
      </c>
      <c r="R101" s="0">
        <f>任务计划表!N101</f>
        <v/>
      </c>
      <c r="S101" s="0">
        <f>IF(O101=人员资源情况!C$2,1,0)</f>
        <v/>
      </c>
      <c r="T101" s="0">
        <f>IF(P101&gt;=人员资源情况!A$2,1,0)</f>
        <v/>
      </c>
      <c r="U101" s="0">
        <f>IF(Q101&lt;=人员资源情况!B$2,1,0)</f>
        <v/>
      </c>
      <c r="V101" s="0">
        <f>IF(T101*U101,Q101-P101,IF(T101&gt;U101,人员资源情况!B$2-P101,IF(T101&lt;U101,任务计划表!Q101-人员资源情况!A$2,0)))*R101*S101</f>
        <v/>
      </c>
      <c r="W101" s="0">
        <f>IF(V101&lt;0,0,V101)</f>
        <v/>
      </c>
    </row>
    <row r="102">
      <c r="B102" s="0" t="inlineStr">
        <is>
          <t>已删除</t>
        </is>
      </c>
      <c r="E102" s="0" t="inlineStr">
        <is>
          <t>亚洲</t>
        </is>
      </c>
      <c r="F102" s="0" t="inlineStr">
        <is>
          <t>巴勒斯坦超声户表二开</t>
        </is>
      </c>
      <c r="G102" s="0" t="inlineStr">
        <is>
          <t>2026-07-09</t>
        </is>
      </c>
      <c r="H102" s="0" t="inlineStr">
        <is>
          <t>2026-08-15</t>
        </is>
      </c>
      <c r="I102" s="0" t="inlineStr">
        <is>
          <t>TR5</t>
        </is>
      </c>
      <c r="J102" s="0" t="inlineStr">
        <is>
          <t>生产工艺及规程制定</t>
        </is>
      </c>
      <c r="K102" s="0" t="inlineStr">
        <is>
          <t xml:space="preserve"> @肖庆阳</t>
        </is>
      </c>
      <c r="L102" s="0" t="inlineStr">
        <is>
          <t>2026-08-13</t>
        </is>
      </c>
      <c r="M102" s="0" t="inlineStr">
        <is>
          <t>2026-08-14</t>
        </is>
      </c>
      <c r="N102" s="0" t="n">
        <v>8</v>
      </c>
      <c r="O102" s="0">
        <f>任务计划表!K102</f>
        <v/>
      </c>
      <c r="P102" s="0">
        <f>IF(IF(任务计划表!L102="/",人员资源情况!$A$2,L102)&gt;M102,M102,(IF(任务计划表!L102="/",人员资源情况!$A$2,L102)))</f>
        <v/>
      </c>
      <c r="Q102" s="0">
        <f>IF(M102="/",人员资源情况!$B$2,任务计划表!M102)</f>
        <v/>
      </c>
      <c r="R102" s="0">
        <f>任务计划表!N102</f>
        <v/>
      </c>
      <c r="S102" s="0">
        <f>IF(O102=人员资源情况!C$2,1,0)</f>
        <v/>
      </c>
      <c r="T102" s="0">
        <f>IF(P102&gt;=人员资源情况!A$2,1,0)</f>
        <v/>
      </c>
      <c r="U102" s="0">
        <f>IF(Q102&lt;=人员资源情况!B$2,1,0)</f>
        <v/>
      </c>
      <c r="V102" s="0">
        <f>IF(T102*U102,Q102-P102,IF(T102&gt;U102,人员资源情况!B$2-P102,IF(T102&lt;U102,任务计划表!Q102-人员资源情况!A$2,0)))*R102*S102</f>
        <v/>
      </c>
      <c r="W102" s="0">
        <f>IF(V102&lt;0,0,V102)</f>
        <v/>
      </c>
    </row>
    <row r="103">
      <c r="B103" s="0" t="inlineStr">
        <is>
          <t>已删除</t>
        </is>
      </c>
      <c r="E103" s="0" t="inlineStr">
        <is>
          <t>亚洲</t>
        </is>
      </c>
      <c r="F103" s="0" t="inlineStr">
        <is>
          <t>巴勒斯坦超声户表二开</t>
        </is>
      </c>
      <c r="G103" s="0" t="inlineStr">
        <is>
          <t>2026-07-09</t>
        </is>
      </c>
      <c r="H103" s="0" t="inlineStr">
        <is>
          <t>2026-08-15</t>
        </is>
      </c>
      <c r="I103" s="0" t="inlineStr">
        <is>
          <t>TR5</t>
        </is>
      </c>
      <c r="J103" s="0" t="inlineStr">
        <is>
          <t>产品参数配置表</t>
        </is>
      </c>
      <c r="K103" s="0" t="inlineStr">
        <is>
          <t>@毛文豪(80018842)</t>
        </is>
      </c>
      <c r="L103" s="0" t="inlineStr">
        <is>
          <t>2026-08-13</t>
        </is>
      </c>
      <c r="M103" s="0" t="inlineStr">
        <is>
          <t>2026-08-14</t>
        </is>
      </c>
      <c r="N103" s="0" t="n">
        <v>2</v>
      </c>
      <c r="O103" s="0">
        <f>任务计划表!K103</f>
        <v/>
      </c>
      <c r="P103" s="0">
        <f>IF(IF(任务计划表!L103="/",人员资源情况!$A$2,L103)&gt;M103,M103,(IF(任务计划表!L103="/",人员资源情况!$A$2,L103)))</f>
        <v/>
      </c>
      <c r="Q103" s="0">
        <f>IF(M103="/",人员资源情况!$B$2,任务计划表!M103)</f>
        <v/>
      </c>
      <c r="R103" s="0">
        <f>任务计划表!N103</f>
        <v/>
      </c>
      <c r="S103" s="0">
        <f>IF(O103=人员资源情况!C$2,1,0)</f>
        <v/>
      </c>
      <c r="T103" s="0">
        <f>IF(P103&gt;=人员资源情况!A$2,1,0)</f>
        <v/>
      </c>
      <c r="U103" s="0">
        <f>IF(Q103&lt;=人员资源情况!B$2,1,0)</f>
        <v/>
      </c>
      <c r="V103" s="0">
        <f>IF(T103*U103,Q103-P103,IF(T103&gt;U103,人员资源情况!B$2-P103,IF(T103&lt;U103,任务计划表!Q103-人员资源情况!A$2,0)))*R103*S103</f>
        <v/>
      </c>
      <c r="W103" s="0">
        <f>IF(V103&lt;0,0,V103)</f>
        <v/>
      </c>
    </row>
    <row r="104">
      <c r="B104" s="0" t="inlineStr">
        <is>
          <t>已删除</t>
        </is>
      </c>
      <c r="E104" s="0" t="inlineStr">
        <is>
          <t>亚洲</t>
        </is>
      </c>
      <c r="F104" s="0" t="inlineStr">
        <is>
          <t>巴勒斯坦超声户表二开</t>
        </is>
      </c>
      <c r="G104" s="0" t="inlineStr">
        <is>
          <t>2026-07-09</t>
        </is>
      </c>
      <c r="H104" s="0" t="inlineStr">
        <is>
          <t>2026-08-15</t>
        </is>
      </c>
      <c r="I104" s="0" t="inlineStr">
        <is>
          <t>TR5</t>
        </is>
      </c>
      <c r="J104" s="0" t="inlineStr">
        <is>
          <t>生产资料归档</t>
        </is>
      </c>
      <c r="K104" s="0" t="inlineStr">
        <is>
          <t>@肖庆阳</t>
        </is>
      </c>
      <c r="L104" s="0" t="inlineStr">
        <is>
          <t>2026-08-14</t>
        </is>
      </c>
      <c r="M104" s="0" t="inlineStr">
        <is>
          <t>2026-08-15</t>
        </is>
      </c>
      <c r="N104" s="0" t="n">
        <v>8</v>
      </c>
      <c r="O104" s="0">
        <f>任务计划表!K104</f>
        <v/>
      </c>
      <c r="P104" s="0">
        <f>IF(IF(任务计划表!L104="/",人员资源情况!$A$2,L104)&gt;M104,M104,(IF(任务计划表!L104="/",人员资源情况!$A$2,L104)))</f>
        <v/>
      </c>
      <c r="Q104" s="0">
        <f>IF(M104="/",人员资源情况!$B$2,任务计划表!M104)</f>
        <v/>
      </c>
      <c r="R104" s="0">
        <f>任务计划表!N104</f>
        <v/>
      </c>
      <c r="S104" s="0">
        <f>IF(O104=人员资源情况!C$2,1,0)</f>
        <v/>
      </c>
      <c r="T104" s="0">
        <f>IF(P104&gt;=人员资源情况!A$2,1,0)</f>
        <v/>
      </c>
      <c r="U104" s="0">
        <f>IF(Q104&lt;=人员资源情况!B$2,1,0)</f>
        <v/>
      </c>
      <c r="V104" s="0">
        <f>IF(T104*U104,Q104-P104,IF(T104&gt;U104,人员资源情况!B$2-P104,IF(T104&lt;U104,任务计划表!Q104-人员资源情况!A$2,0)))*R104*S104</f>
        <v/>
      </c>
      <c r="W104" s="0">
        <f>IF(V104&lt;0,0,V104)</f>
        <v/>
      </c>
    </row>
    <row r="105">
      <c r="B105" s="0" t="inlineStr">
        <is>
          <t>已删除</t>
        </is>
      </c>
      <c r="E105" s="0" t="inlineStr">
        <is>
          <t>亚洲</t>
        </is>
      </c>
      <c r="F105" s="0" t="inlineStr">
        <is>
          <t>巴勒斯坦超声户表二开</t>
        </is>
      </c>
      <c r="G105" s="0" t="inlineStr">
        <is>
          <t>2026-07-09</t>
        </is>
      </c>
      <c r="H105" s="0" t="inlineStr">
        <is>
          <t>2026-08-15</t>
        </is>
      </c>
      <c r="I105" s="0" t="inlineStr">
        <is>
          <t>TR5</t>
        </is>
      </c>
      <c r="J105" s="0" t="inlineStr">
        <is>
          <t>项目结项评审</t>
        </is>
      </c>
      <c r="K105" s="0" t="inlineStr">
        <is>
          <t>@毛文豪(80018842)</t>
        </is>
      </c>
      <c r="L105" s="0" t="inlineStr">
        <is>
          <t>2026-08-14</t>
        </is>
      </c>
      <c r="M105" s="0" t="inlineStr">
        <is>
          <t>2026-08-15</t>
        </is>
      </c>
      <c r="N105" s="0" t="n">
        <v>16</v>
      </c>
      <c r="O105" s="0">
        <f>任务计划表!K105</f>
        <v/>
      </c>
      <c r="P105" s="0">
        <f>IF(IF(任务计划表!L105="/",人员资源情况!$A$2,L105)&gt;M105,M105,(IF(任务计划表!L105="/",人员资源情况!$A$2,L105)))</f>
        <v/>
      </c>
      <c r="Q105" s="0">
        <f>IF(M105="/",人员资源情况!$B$2,任务计划表!M105)</f>
        <v/>
      </c>
      <c r="R105" s="0">
        <f>任务计划表!N105</f>
        <v/>
      </c>
      <c r="S105" s="0">
        <f>IF(O105=人员资源情况!C$2,1,0)</f>
        <v/>
      </c>
      <c r="T105" s="0">
        <f>IF(P105&gt;=人员资源情况!A$2,1,0)</f>
        <v/>
      </c>
      <c r="U105" s="0">
        <f>IF(Q105&lt;=人员资源情况!B$2,1,0)</f>
        <v/>
      </c>
      <c r="V105" s="0">
        <f>IF(T105*U105,Q105-P105,IF(T105&gt;U105,人员资源情况!B$2-P105,IF(T105&lt;U105,任务计划表!Q105-人员资源情况!A$2,0)))*R105*S105</f>
        <v/>
      </c>
      <c r="W105" s="0">
        <f>IF(V105&lt;0,0,V105)</f>
        <v/>
      </c>
    </row>
    <row r="106">
      <c r="B106" s="0" t="inlineStr">
        <is>
          <t>已删除</t>
        </is>
      </c>
      <c r="E106" s="0" t="inlineStr">
        <is>
          <t>亚洲</t>
        </is>
      </c>
      <c r="F106" s="0" t="inlineStr">
        <is>
          <t>巴勒斯坦超声户表二开</t>
        </is>
      </c>
      <c r="G106" s="0" t="inlineStr">
        <is>
          <t>2026-07-09</t>
        </is>
      </c>
      <c r="H106" s="0" t="inlineStr">
        <is>
          <t>2026-08-15</t>
        </is>
      </c>
      <c r="I106" s="0" t="inlineStr">
        <is>
          <t>TR1</t>
        </is>
      </c>
      <c r="J106" s="0" t="inlineStr">
        <is>
          <t>需求导入</t>
        </is>
      </c>
      <c r="K106" s="0" t="inlineStr">
        <is>
          <t>@毛文豪(80018842)</t>
        </is>
      </c>
      <c r="L106" s="0" t="inlineStr">
        <is>
          <t>2026-07-09</t>
        </is>
      </c>
      <c r="M106" s="0" t="inlineStr">
        <is>
          <t>2026-07-10</t>
        </is>
      </c>
      <c r="N106" s="0" t="n">
        <v>0</v>
      </c>
      <c r="O106" s="0">
        <f>任务计划表!K106</f>
        <v/>
      </c>
      <c r="P106" s="0">
        <f>IF(IF(任务计划表!L106="/",人员资源情况!$A$2,L106)&gt;M106,M106,(IF(任务计划表!L106="/",人员资源情况!$A$2,L106)))</f>
        <v/>
      </c>
      <c r="Q106" s="0">
        <f>IF(M106="/",人员资源情况!$B$2,任务计划表!M106)</f>
        <v/>
      </c>
      <c r="R106" s="0">
        <f>任务计划表!N106</f>
        <v/>
      </c>
      <c r="S106" s="0">
        <f>IF(O106=人员资源情况!C$2,1,0)</f>
        <v/>
      </c>
      <c r="T106" s="0">
        <f>IF(P106&gt;=人员资源情况!A$2,1,0)</f>
        <v/>
      </c>
      <c r="U106" s="0">
        <f>IF(Q106&lt;=人员资源情况!B$2,1,0)</f>
        <v/>
      </c>
      <c r="V106" s="0">
        <f>IF(T106*U106,Q106-P106,IF(T106&gt;U106,人员资源情况!B$2-P106,IF(T106&lt;U106,任务计划表!Q106-人员资源情况!A$2,0)))*R106*S106</f>
        <v/>
      </c>
      <c r="W106" s="0">
        <f>IF(V106&lt;0,0,V106)</f>
        <v/>
      </c>
    </row>
    <row r="107">
      <c r="B107" s="0" t="inlineStr">
        <is>
          <t>已删除</t>
        </is>
      </c>
      <c r="E107" s="0" t="inlineStr">
        <is>
          <t>亚洲</t>
        </is>
      </c>
      <c r="F107" s="0" t="inlineStr">
        <is>
          <t>巴勒斯坦超声户表二开</t>
        </is>
      </c>
      <c r="G107" s="0" t="inlineStr">
        <is>
          <t>2026-07-09</t>
        </is>
      </c>
      <c r="H107" s="0" t="inlineStr">
        <is>
          <t>2026-08-15</t>
        </is>
      </c>
      <c r="I107" s="0" t="inlineStr">
        <is>
          <t>TR1</t>
        </is>
      </c>
      <c r="J107" s="0" t="inlineStr">
        <is>
          <t>需求评审</t>
        </is>
      </c>
      <c r="K107" s="0" t="inlineStr">
        <is>
          <t>@毛文豪(80018842)</t>
        </is>
      </c>
      <c r="L107" s="0" t="inlineStr">
        <is>
          <t>2026-07-09</t>
        </is>
      </c>
      <c r="M107" s="0" t="inlineStr">
        <is>
          <t>2026-07-10</t>
        </is>
      </c>
      <c r="N107" s="0" t="n">
        <v>0</v>
      </c>
      <c r="O107" s="0">
        <f>任务计划表!K107</f>
        <v/>
      </c>
      <c r="P107" s="0">
        <f>IF(IF(任务计划表!L107="/",人员资源情况!$A$2,L107)&gt;M107,M107,(IF(任务计划表!L107="/",人员资源情况!$A$2,L107)))</f>
        <v/>
      </c>
      <c r="Q107" s="0">
        <f>IF(M107="/",人员资源情况!$B$2,任务计划表!M107)</f>
        <v/>
      </c>
      <c r="R107" s="0">
        <f>任务计划表!N107</f>
        <v/>
      </c>
      <c r="S107" s="0">
        <f>IF(O107=人员资源情况!C$2,1,0)</f>
        <v/>
      </c>
      <c r="T107" s="0">
        <f>IF(P107&gt;=人员资源情况!A$2,1,0)</f>
        <v/>
      </c>
      <c r="U107" s="0">
        <f>IF(Q107&lt;=人员资源情况!B$2,1,0)</f>
        <v/>
      </c>
      <c r="V107" s="0">
        <f>IF(T107*U107,Q107-P107,IF(T107&gt;U107,人员资源情况!B$2-P107,IF(T107&lt;U107,任务计划表!Q107-人员资源情况!A$2,0)))*R107*S107</f>
        <v/>
      </c>
      <c r="W107" s="0">
        <f>IF(V107&lt;0,0,V107)</f>
        <v/>
      </c>
    </row>
    <row r="108">
      <c r="B108" s="0" t="inlineStr">
        <is>
          <t>已删除</t>
        </is>
      </c>
      <c r="E108" s="0" t="inlineStr">
        <is>
          <t>亚洲</t>
        </is>
      </c>
      <c r="F108" s="0" t="inlineStr">
        <is>
          <t>巴勒斯坦超声户表二开</t>
        </is>
      </c>
      <c r="G108" s="0" t="inlineStr">
        <is>
          <t>2026-07-09</t>
        </is>
      </c>
      <c r="H108" s="0" t="inlineStr">
        <is>
          <t>2026-08-15</t>
        </is>
      </c>
      <c r="I108" s="0" t="inlineStr">
        <is>
          <t>TR3</t>
        </is>
      </c>
      <c r="J108" s="0" t="inlineStr">
        <is>
          <t>巴勒斯坦二开SE文档评审</t>
        </is>
      </c>
      <c r="K108" s="0" t="inlineStr">
        <is>
          <t>@毛文豪(80018842)</t>
        </is>
      </c>
      <c r="L108" s="0" t="inlineStr">
        <is>
          <t>2026-07-21</t>
        </is>
      </c>
      <c r="M108" s="0" t="inlineStr">
        <is>
          <t>2026-07-23</t>
        </is>
      </c>
      <c r="N108" s="0" t="n">
        <v>8</v>
      </c>
      <c r="O108" s="0">
        <f>任务计划表!K108</f>
        <v/>
      </c>
      <c r="P108" s="0">
        <f>IF(IF(任务计划表!L108="/",人员资源情况!$A$2,L108)&gt;M108,M108,(IF(任务计划表!L108="/",人员资源情况!$A$2,L108)))</f>
        <v/>
      </c>
      <c r="Q108" s="0">
        <f>IF(M108="/",人员资源情况!$B$2,任务计划表!M108)</f>
        <v/>
      </c>
      <c r="R108" s="0">
        <f>任务计划表!N108</f>
        <v/>
      </c>
      <c r="S108" s="0">
        <f>IF(O108=人员资源情况!C$2,1,0)</f>
        <v/>
      </c>
      <c r="T108" s="0">
        <f>IF(P108&gt;=人员资源情况!A$2,1,0)</f>
        <v/>
      </c>
      <c r="U108" s="0">
        <f>IF(Q108&lt;=人员资源情况!B$2,1,0)</f>
        <v/>
      </c>
      <c r="V108" s="0">
        <f>IF(T108*U108,Q108-P108,IF(T108&gt;U108,人员资源情况!B$2-P108,IF(T108&lt;U108,任务计划表!Q108-人员资源情况!A$2,0)))*R108*S108</f>
        <v/>
      </c>
      <c r="W108" s="0">
        <f>IF(V108&lt;0,0,V108)</f>
        <v/>
      </c>
    </row>
    <row r="109">
      <c r="B109" s="0" t="inlineStr">
        <is>
          <t>已删除</t>
        </is>
      </c>
      <c r="E109" s="0" t="inlineStr">
        <is>
          <t>亚洲</t>
        </is>
      </c>
      <c r="F109" s="0" t="inlineStr">
        <is>
          <t>巴勒斯坦超声户表二开</t>
        </is>
      </c>
      <c r="G109" s="0" t="inlineStr">
        <is>
          <t>2026-07-09</t>
        </is>
      </c>
      <c r="H109" s="0" t="inlineStr">
        <is>
          <t>2026-08-15</t>
        </is>
      </c>
      <c r="I109" s="0" t="inlineStr">
        <is>
          <t>TR4</t>
        </is>
      </c>
      <c r="J109" s="0" t="inlineStr">
        <is>
          <t>水表固件代码编写</t>
        </is>
      </c>
      <c r="K109" s="0" t="inlineStr">
        <is>
          <t>@毛文豪(80018842)</t>
        </is>
      </c>
      <c r="L109" s="0" t="inlineStr">
        <is>
          <t>2026-07-23</t>
        </is>
      </c>
      <c r="M109" s="0" t="inlineStr">
        <is>
          <t>2026-07-25</t>
        </is>
      </c>
      <c r="N109" s="0" t="n">
        <v>6</v>
      </c>
      <c r="O109" s="0">
        <f>任务计划表!K109</f>
        <v/>
      </c>
      <c r="P109" s="0">
        <f>IF(IF(任务计划表!L109="/",人员资源情况!$A$2,L109)&gt;M109,M109,(IF(任务计划表!L109="/",人员资源情况!$A$2,L109)))</f>
        <v/>
      </c>
      <c r="Q109" s="0">
        <f>IF(M109="/",人员资源情况!$B$2,任务计划表!M109)</f>
        <v/>
      </c>
      <c r="R109" s="0">
        <f>任务计划表!N109</f>
        <v/>
      </c>
      <c r="S109" s="0">
        <f>IF(O109=人员资源情况!C$2,1,0)</f>
        <v/>
      </c>
      <c r="T109" s="0">
        <f>IF(P109&gt;=人员资源情况!A$2,1,0)</f>
        <v/>
      </c>
      <c r="U109" s="0">
        <f>IF(Q109&lt;=人员资源情况!B$2,1,0)</f>
        <v/>
      </c>
      <c r="V109" s="0">
        <f>IF(T109*U109,Q109-P109,IF(T109&gt;U109,人员资源情况!B$2-P109,IF(T109&lt;U109,任务计划表!Q109-人员资源情况!A$2,0)))*R109*S109</f>
        <v/>
      </c>
      <c r="W109" s="0">
        <f>IF(V109&lt;0,0,V109)</f>
        <v/>
      </c>
    </row>
    <row r="110">
      <c r="B110" s="0" t="inlineStr">
        <is>
          <t>已删除</t>
        </is>
      </c>
      <c r="E110" s="0" t="inlineStr">
        <is>
          <t>亚洲</t>
        </is>
      </c>
      <c r="F110" s="0" t="inlineStr">
        <is>
          <t>巴勒斯坦超声户表二开</t>
        </is>
      </c>
      <c r="G110" s="0" t="inlineStr">
        <is>
          <t>2026-07-09</t>
        </is>
      </c>
      <c r="H110" s="0" t="inlineStr">
        <is>
          <t>2026-08-15</t>
        </is>
      </c>
      <c r="I110" s="0" t="inlineStr">
        <is>
          <t>TR4</t>
        </is>
      </c>
      <c r="J110" s="0" t="inlineStr">
        <is>
          <t>水表固件自测</t>
        </is>
      </c>
      <c r="K110" s="0" t="inlineStr">
        <is>
          <t>@毛文豪(80018842)</t>
        </is>
      </c>
      <c r="L110" s="0" t="inlineStr">
        <is>
          <t>2026-07-27</t>
        </is>
      </c>
      <c r="M110" s="0" t="inlineStr">
        <is>
          <t>2026-07-29</t>
        </is>
      </c>
      <c r="N110" s="0" t="n">
        <v>6</v>
      </c>
      <c r="O110" s="0">
        <f>任务计划表!K110</f>
        <v/>
      </c>
      <c r="P110" s="0">
        <f>IF(IF(任务计划表!L110="/",人员资源情况!$A$2,L110)&gt;M110,M110,(IF(任务计划表!L110="/",人员资源情况!$A$2,L110)))</f>
        <v/>
      </c>
      <c r="Q110" s="0">
        <f>IF(M110="/",人员资源情况!$B$2,任务计划表!M110)</f>
        <v/>
      </c>
      <c r="R110" s="0">
        <f>任务计划表!N110</f>
        <v/>
      </c>
      <c r="S110" s="0">
        <f>IF(O110=人员资源情况!C$2,1,0)</f>
        <v/>
      </c>
      <c r="T110" s="0">
        <f>IF(P110&gt;=人员资源情况!A$2,1,0)</f>
        <v/>
      </c>
      <c r="U110" s="0">
        <f>IF(Q110&lt;=人员资源情况!B$2,1,0)</f>
        <v/>
      </c>
      <c r="V110" s="0">
        <f>IF(T110*U110,Q110-P110,IF(T110&gt;U110,人员资源情况!B$2-P110,IF(T110&lt;U110,任务计划表!Q110-人员资源情况!A$2,0)))*R110*S110</f>
        <v/>
      </c>
      <c r="W110" s="0">
        <f>IF(V110&lt;0,0,V110)</f>
        <v/>
      </c>
    </row>
    <row r="111">
      <c r="B111" s="0" t="inlineStr">
        <is>
          <t>已删除</t>
        </is>
      </c>
      <c r="E111" s="0" t="inlineStr">
        <is>
          <t>亚洲</t>
        </is>
      </c>
      <c r="F111" s="0" t="inlineStr">
        <is>
          <t>巴勒斯坦超声户表二开</t>
        </is>
      </c>
      <c r="G111" s="0" t="inlineStr">
        <is>
          <t>2026-07-09</t>
        </is>
      </c>
      <c r="H111" s="0" t="inlineStr">
        <is>
          <t>2026-08-15</t>
        </is>
      </c>
      <c r="I111" s="0" t="inlineStr">
        <is>
          <t>TR4</t>
        </is>
      </c>
      <c r="J111" s="0" t="inlineStr">
        <is>
          <t>CIU固件代码编写</t>
        </is>
      </c>
      <c r="K111" s="0" t="inlineStr">
        <is>
          <t>@毛文豪(80018842)</t>
        </is>
      </c>
      <c r="L111" s="0" t="inlineStr">
        <is>
          <t>2026-07-29</t>
        </is>
      </c>
      <c r="M111" s="0" t="inlineStr">
        <is>
          <t>2026-07-30</t>
        </is>
      </c>
      <c r="N111" s="0" t="n">
        <v>6</v>
      </c>
      <c r="O111" s="0">
        <f>任务计划表!K111</f>
        <v/>
      </c>
      <c r="P111" s="0">
        <f>IF(IF(任务计划表!L111="/",人员资源情况!$A$2,L111)&gt;M111,M111,(IF(任务计划表!L111="/",人员资源情况!$A$2,L111)))</f>
        <v/>
      </c>
      <c r="Q111" s="0">
        <f>IF(M111="/",人员资源情况!$B$2,任务计划表!M111)</f>
        <v/>
      </c>
      <c r="R111" s="0">
        <f>任务计划表!N111</f>
        <v/>
      </c>
      <c r="S111" s="0">
        <f>IF(O111=人员资源情况!C$2,1,0)</f>
        <v/>
      </c>
      <c r="T111" s="0">
        <f>IF(P111&gt;=人员资源情况!A$2,1,0)</f>
        <v/>
      </c>
      <c r="U111" s="0">
        <f>IF(Q111&lt;=人员资源情况!B$2,1,0)</f>
        <v/>
      </c>
      <c r="V111" s="0">
        <f>IF(T111*U111,Q111-P111,IF(T111&gt;U111,人员资源情况!B$2-P111,IF(T111&lt;U111,任务计划表!Q111-人员资源情况!A$2,0)))*R111*S111</f>
        <v/>
      </c>
      <c r="W111" s="0">
        <f>IF(V111&lt;0,0,V111)</f>
        <v/>
      </c>
    </row>
    <row r="112">
      <c r="B112" s="0" t="inlineStr">
        <is>
          <t>已删除</t>
        </is>
      </c>
      <c r="E112" s="0" t="inlineStr">
        <is>
          <t>亚洲</t>
        </is>
      </c>
      <c r="F112" s="0" t="inlineStr">
        <is>
          <t>巴勒斯坦超声户表二开</t>
        </is>
      </c>
      <c r="G112" s="0" t="inlineStr">
        <is>
          <t>2026-07-09</t>
        </is>
      </c>
      <c r="H112" s="0" t="inlineStr">
        <is>
          <t>2026-08-15</t>
        </is>
      </c>
      <c r="I112" s="0" t="inlineStr">
        <is>
          <t>TR4A</t>
        </is>
      </c>
      <c r="J112" s="0" t="inlineStr">
        <is>
          <t>样机制作</t>
        </is>
      </c>
      <c r="K112" s="0" t="inlineStr">
        <is>
          <t>@文春英</t>
        </is>
      </c>
      <c r="L112" s="0" t="inlineStr">
        <is>
          <t>2026-07-30</t>
        </is>
      </c>
      <c r="M112" s="0" t="inlineStr">
        <is>
          <t>2026-08-03</t>
        </is>
      </c>
      <c r="N112" s="0" t="n">
        <v>2</v>
      </c>
      <c r="O112" s="0">
        <f>任务计划表!K112</f>
        <v/>
      </c>
      <c r="P112" s="0">
        <f>IF(IF(任务计划表!L112="/",人员资源情况!$A$2,L112)&gt;M112,M112,(IF(任务计划表!L112="/",人员资源情况!$A$2,L112)))</f>
        <v/>
      </c>
      <c r="Q112" s="0">
        <f>IF(M112="/",人员资源情况!$B$2,任务计划表!M112)</f>
        <v/>
      </c>
      <c r="R112" s="0">
        <f>任务计划表!N112</f>
        <v/>
      </c>
      <c r="S112" s="0">
        <f>IF(O112=人员资源情况!C$2,1,0)</f>
        <v/>
      </c>
      <c r="T112" s="0">
        <f>IF(P112&gt;=人员资源情况!A$2,1,0)</f>
        <v/>
      </c>
      <c r="U112" s="0">
        <f>IF(Q112&lt;=人员资源情况!B$2,1,0)</f>
        <v/>
      </c>
      <c r="V112" s="0">
        <f>IF(T112*U112,Q112-P112,IF(T112&gt;U112,人员资源情况!B$2-P112,IF(T112&lt;U112,任务计划表!Q112-人员资源情况!A$2,0)))*R112*S112</f>
        <v/>
      </c>
      <c r="W112" s="0">
        <f>IF(V112&lt;0,0,V112)</f>
        <v/>
      </c>
    </row>
    <row r="113">
      <c r="B113" s="0" t="inlineStr">
        <is>
          <t>已删除</t>
        </is>
      </c>
      <c r="E113" s="0" t="inlineStr">
        <is>
          <t>亚洲</t>
        </is>
      </c>
      <c r="F113" s="0" t="inlineStr">
        <is>
          <t>巴勒斯坦超声户表二开</t>
        </is>
      </c>
      <c r="G113" s="0" t="inlineStr">
        <is>
          <t>2026-07-09</t>
        </is>
      </c>
      <c r="H113" s="0" t="inlineStr">
        <is>
          <t>2026-08-15</t>
        </is>
      </c>
      <c r="I113" s="0" t="inlineStr">
        <is>
          <t>TR4</t>
        </is>
      </c>
      <c r="J113" s="0" t="inlineStr">
        <is>
          <t>测试用例评审</t>
        </is>
      </c>
      <c r="K113" s="0" t="inlineStr">
        <is>
          <t>@袁知正</t>
        </is>
      </c>
      <c r="L113" s="0" t="inlineStr">
        <is>
          <t>2026-07-23</t>
        </is>
      </c>
      <c r="M113" s="0" t="inlineStr">
        <is>
          <t>2026-07-29</t>
        </is>
      </c>
      <c r="N113" s="0" t="n">
        <v>2</v>
      </c>
      <c r="O113" s="0">
        <f>任务计划表!K113</f>
        <v/>
      </c>
      <c r="P113" s="0">
        <f>IF(IF(任务计划表!L113="/",人员资源情况!$A$2,L113)&gt;M113,M113,(IF(任务计划表!L113="/",人员资源情况!$A$2,L113)))</f>
        <v/>
      </c>
      <c r="Q113" s="0">
        <f>IF(M113="/",人员资源情况!$B$2,任务计划表!M113)</f>
        <v/>
      </c>
      <c r="R113" s="0">
        <f>任务计划表!N113</f>
        <v/>
      </c>
      <c r="S113" s="0">
        <f>IF(O113=人员资源情况!C$2,1,0)</f>
        <v/>
      </c>
      <c r="T113" s="0">
        <f>IF(P113&gt;=人员资源情况!A$2,1,0)</f>
        <v/>
      </c>
      <c r="U113" s="0">
        <f>IF(Q113&lt;=人员资源情况!B$2,1,0)</f>
        <v/>
      </c>
      <c r="V113" s="0">
        <f>IF(T113*U113,Q113-P113,IF(T113&gt;U113,人员资源情况!B$2-P113,IF(T113&lt;U113,任务计划表!Q113-人员资源情况!A$2,0)))*R113*S113</f>
        <v/>
      </c>
      <c r="W113" s="0">
        <f>IF(V113&lt;0,0,V113)</f>
        <v/>
      </c>
    </row>
    <row r="114">
      <c r="B114" s="0" t="inlineStr">
        <is>
          <t>已删除</t>
        </is>
      </c>
      <c r="E114" s="0" t="inlineStr">
        <is>
          <t>亚洲</t>
        </is>
      </c>
      <c r="F114" s="0" t="inlineStr">
        <is>
          <t>巴勒斯坦超声户表二开</t>
        </is>
      </c>
      <c r="G114" s="0" t="inlineStr">
        <is>
          <t>2026-07-09</t>
        </is>
      </c>
      <c r="H114" s="0" t="inlineStr">
        <is>
          <t>2026-08-15</t>
        </is>
      </c>
      <c r="I114" s="0" t="inlineStr">
        <is>
          <t>TR4A</t>
        </is>
      </c>
      <c r="J114" s="0" t="inlineStr">
        <is>
          <t>测试报告</t>
        </is>
      </c>
      <c r="K114" s="0" t="inlineStr">
        <is>
          <t>@袁知正</t>
        </is>
      </c>
      <c r="L114" s="0" t="inlineStr">
        <is>
          <t>2026-07-30</t>
        </is>
      </c>
      <c r="M114" s="0" t="inlineStr">
        <is>
          <t>2026-08-12</t>
        </is>
      </c>
      <c r="N114" s="0" t="n">
        <v>8</v>
      </c>
      <c r="O114" s="0">
        <f>任务计划表!K114</f>
        <v/>
      </c>
      <c r="P114" s="0">
        <f>IF(IF(任务计划表!L114="/",人员资源情况!$A$2,L114)&gt;M114,M114,(IF(任务计划表!L114="/",人员资源情况!$A$2,L114)))</f>
        <v/>
      </c>
      <c r="Q114" s="0">
        <f>IF(M114="/",人员资源情况!$B$2,任务计划表!M114)</f>
        <v/>
      </c>
      <c r="R114" s="0">
        <f>任务计划表!N114</f>
        <v/>
      </c>
      <c r="S114" s="0">
        <f>IF(O114=人员资源情况!C$2,1,0)</f>
        <v/>
      </c>
      <c r="T114" s="0">
        <f>IF(P114&gt;=人员资源情况!A$2,1,0)</f>
        <v/>
      </c>
      <c r="U114" s="0">
        <f>IF(Q114&lt;=人员资源情况!B$2,1,0)</f>
        <v/>
      </c>
      <c r="V114" s="0">
        <f>IF(T114*U114,Q114-P114,IF(T114&gt;U114,人员资源情况!B$2-P114,IF(T114&lt;U114,任务计划表!Q114-人员资源情况!A$2,0)))*R114*S114</f>
        <v/>
      </c>
      <c r="W114" s="0">
        <f>IF(V114&lt;0,0,V114)</f>
        <v/>
      </c>
    </row>
    <row r="115">
      <c r="B115" s="0" t="inlineStr">
        <is>
          <t>已删除</t>
        </is>
      </c>
      <c r="E115" s="0" t="inlineStr">
        <is>
          <t>亚洲</t>
        </is>
      </c>
      <c r="F115" s="0" t="inlineStr">
        <is>
          <t>巴勒斯坦超声户表二开</t>
        </is>
      </c>
      <c r="G115" s="0" t="inlineStr">
        <is>
          <t>2026-07-09</t>
        </is>
      </c>
      <c r="H115" s="0" t="inlineStr">
        <is>
          <t>2026-08-15</t>
        </is>
      </c>
      <c r="I115" s="0" t="inlineStr">
        <is>
          <t>TR4A</t>
        </is>
      </c>
      <c r="J115" s="0" t="inlineStr">
        <is>
          <t>测试报告评审</t>
        </is>
      </c>
      <c r="K115" s="0" t="inlineStr">
        <is>
          <t>@袁知正</t>
        </is>
      </c>
      <c r="L115" s="0" t="inlineStr">
        <is>
          <t>2026-08-12</t>
        </is>
      </c>
      <c r="M115" s="0" t="inlineStr">
        <is>
          <t>2026-08-13</t>
        </is>
      </c>
      <c r="N115" s="0" t="n">
        <v>1</v>
      </c>
      <c r="O115" s="0">
        <f>任务计划表!K115</f>
        <v/>
      </c>
      <c r="P115" s="0">
        <f>IF(IF(任务计划表!L115="/",人员资源情况!$A$2,L115)&gt;M115,M115,(IF(任务计划表!L115="/",人员资源情况!$A$2,L115)))</f>
        <v/>
      </c>
      <c r="Q115" s="0">
        <f>IF(M115="/",人员资源情况!$B$2,任务计划表!M115)</f>
        <v/>
      </c>
      <c r="R115" s="0">
        <f>任务计划表!N115</f>
        <v/>
      </c>
      <c r="S115" s="0">
        <f>IF(O115=人员资源情况!C$2,1,0)</f>
        <v/>
      </c>
      <c r="T115" s="0">
        <f>IF(P115&gt;=人员资源情况!A$2,1,0)</f>
        <v/>
      </c>
      <c r="U115" s="0">
        <f>IF(Q115&lt;=人员资源情况!B$2,1,0)</f>
        <v/>
      </c>
      <c r="V115" s="0">
        <f>IF(T115*U115,Q115-P115,IF(T115&gt;U115,人员资源情况!B$2-P115,IF(T115&lt;U115,任务计划表!Q115-人员资源情况!A$2,0)))*R115*S115</f>
        <v/>
      </c>
      <c r="W115" s="0">
        <f>IF(V115&lt;0,0,V115)</f>
        <v/>
      </c>
    </row>
    <row r="116">
      <c r="B116" s="0" t="inlineStr">
        <is>
          <t>已删除</t>
        </is>
      </c>
      <c r="E116" s="0" t="inlineStr">
        <is>
          <t>亚洲</t>
        </is>
      </c>
      <c r="F116" s="0" t="inlineStr">
        <is>
          <t>巴勒斯坦超声户表二开</t>
        </is>
      </c>
      <c r="G116" s="0" t="inlineStr">
        <is>
          <t>2026-07-09</t>
        </is>
      </c>
      <c r="H116" s="0" t="inlineStr">
        <is>
          <t>2026-08-15</t>
        </is>
      </c>
      <c r="I116" s="0" t="inlineStr">
        <is>
          <t>TR5</t>
        </is>
      </c>
      <c r="J116" s="0" t="inlineStr">
        <is>
          <t>生产工艺及规程制定</t>
        </is>
      </c>
      <c r="K116" s="0" t="inlineStr">
        <is>
          <t>@肖庆阳</t>
        </is>
      </c>
      <c r="L116" s="0" t="inlineStr">
        <is>
          <t>2026-08-13</t>
        </is>
      </c>
      <c r="M116" s="0" t="inlineStr">
        <is>
          <t>2026-08-14</t>
        </is>
      </c>
      <c r="N116" s="0" t="n">
        <v>8</v>
      </c>
      <c r="O116" s="0">
        <f>任务计划表!K116</f>
        <v/>
      </c>
      <c r="P116" s="0">
        <f>IF(IF(任务计划表!L116="/",人员资源情况!$A$2,L116)&gt;M116,M116,(IF(任务计划表!L116="/",人员资源情况!$A$2,L116)))</f>
        <v/>
      </c>
      <c r="Q116" s="0">
        <f>IF(M116="/",人员资源情况!$B$2,任务计划表!M116)</f>
        <v/>
      </c>
      <c r="R116" s="0">
        <f>任务计划表!N116</f>
        <v/>
      </c>
      <c r="S116" s="0">
        <f>IF(O116=人员资源情况!C$2,1,0)</f>
        <v/>
      </c>
      <c r="T116" s="0">
        <f>IF(P116&gt;=人员资源情况!A$2,1,0)</f>
        <v/>
      </c>
      <c r="U116" s="0">
        <f>IF(Q116&lt;=人员资源情况!B$2,1,0)</f>
        <v/>
      </c>
      <c r="V116" s="0">
        <f>IF(T116*U116,Q116-P116,IF(T116&gt;U116,人员资源情况!B$2-P116,IF(T116&lt;U116,任务计划表!Q116-人员资源情况!A$2,0)))*R116*S116</f>
        <v/>
      </c>
      <c r="W116" s="0">
        <f>IF(V116&lt;0,0,V116)</f>
        <v/>
      </c>
    </row>
    <row r="117">
      <c r="B117" s="0" t="inlineStr">
        <is>
          <t>已删除</t>
        </is>
      </c>
      <c r="E117" s="0" t="inlineStr">
        <is>
          <t>亚洲</t>
        </is>
      </c>
      <c r="F117" s="0" t="inlineStr">
        <is>
          <t>巴勒斯坦超声户表二开</t>
        </is>
      </c>
      <c r="G117" s="0" t="inlineStr">
        <is>
          <t>2026-07-09</t>
        </is>
      </c>
      <c r="H117" s="0" t="inlineStr">
        <is>
          <t>2026-08-15</t>
        </is>
      </c>
      <c r="I117" s="0" t="inlineStr">
        <is>
          <t>TR5</t>
        </is>
      </c>
      <c r="J117" s="0" t="inlineStr">
        <is>
          <t>产品参数配置表</t>
        </is>
      </c>
      <c r="K117" s="0" t="inlineStr">
        <is>
          <t>@毛文豪(80018842)</t>
        </is>
      </c>
      <c r="L117" s="0" t="inlineStr">
        <is>
          <t>2026-08-13</t>
        </is>
      </c>
      <c r="M117" s="0" t="inlineStr">
        <is>
          <t>2026-08-14</t>
        </is>
      </c>
      <c r="N117" s="0" t="n">
        <v>2</v>
      </c>
      <c r="O117" s="0">
        <f>任务计划表!K117</f>
        <v/>
      </c>
      <c r="P117" s="0">
        <f>IF(IF(任务计划表!L117="/",人员资源情况!$A$2,L117)&gt;M117,M117,(IF(任务计划表!L117="/",人员资源情况!$A$2,L117)))</f>
        <v/>
      </c>
      <c r="Q117" s="0">
        <f>IF(M117="/",人员资源情况!$B$2,任务计划表!M117)</f>
        <v/>
      </c>
      <c r="R117" s="0">
        <f>任务计划表!N117</f>
        <v/>
      </c>
      <c r="S117" s="0">
        <f>IF(O117=人员资源情况!C$2,1,0)</f>
        <v/>
      </c>
      <c r="T117" s="0">
        <f>IF(P117&gt;=人员资源情况!A$2,1,0)</f>
        <v/>
      </c>
      <c r="U117" s="0">
        <f>IF(Q117&lt;=人员资源情况!B$2,1,0)</f>
        <v/>
      </c>
      <c r="V117" s="0">
        <f>IF(T117*U117,Q117-P117,IF(T117&gt;U117,人员资源情况!B$2-P117,IF(T117&lt;U117,任务计划表!Q117-人员资源情况!A$2,0)))*R117*S117</f>
        <v/>
      </c>
      <c r="W117" s="0">
        <f>IF(V117&lt;0,0,V117)</f>
        <v/>
      </c>
    </row>
    <row r="118">
      <c r="B118" s="0" t="inlineStr">
        <is>
          <t>已删除</t>
        </is>
      </c>
      <c r="E118" s="0" t="inlineStr">
        <is>
          <t>亚洲</t>
        </is>
      </c>
      <c r="F118" s="0" t="inlineStr">
        <is>
          <t>巴勒斯坦超声户表二开</t>
        </is>
      </c>
      <c r="G118" s="0" t="inlineStr">
        <is>
          <t>2026-07-09</t>
        </is>
      </c>
      <c r="H118" s="0" t="inlineStr">
        <is>
          <t>2026-08-15</t>
        </is>
      </c>
      <c r="I118" s="0" t="inlineStr">
        <is>
          <t>TR5</t>
        </is>
      </c>
      <c r="J118" s="0" t="inlineStr">
        <is>
          <t>生产资料归档</t>
        </is>
      </c>
      <c r="K118" s="0" t="inlineStr">
        <is>
          <t>@肖庆阳</t>
        </is>
      </c>
      <c r="L118" s="0" t="inlineStr">
        <is>
          <t>2026-08-14</t>
        </is>
      </c>
      <c r="M118" s="0" t="inlineStr">
        <is>
          <t>2026-08-15</t>
        </is>
      </c>
      <c r="N118" s="0" t="n">
        <v>8</v>
      </c>
      <c r="O118" s="0">
        <f>任务计划表!K118</f>
        <v/>
      </c>
      <c r="P118" s="0">
        <f>IF(IF(任务计划表!L118="/",人员资源情况!$A$2,L118)&gt;M118,M118,(IF(任务计划表!L118="/",人员资源情况!$A$2,L118)))</f>
        <v/>
      </c>
      <c r="Q118" s="0">
        <f>IF(M118="/",人员资源情况!$B$2,任务计划表!M118)</f>
        <v/>
      </c>
      <c r="R118" s="0">
        <f>任务计划表!N118</f>
        <v/>
      </c>
      <c r="S118" s="0">
        <f>IF(O118=人员资源情况!C$2,1,0)</f>
        <v/>
      </c>
      <c r="T118" s="0">
        <f>IF(P118&gt;=人员资源情况!A$2,1,0)</f>
        <v/>
      </c>
      <c r="U118" s="0">
        <f>IF(Q118&lt;=人员资源情况!B$2,1,0)</f>
        <v/>
      </c>
      <c r="V118" s="0">
        <f>IF(T118*U118,Q118-P118,IF(T118&gt;U118,人员资源情况!B$2-P118,IF(T118&lt;U118,任务计划表!Q118-人员资源情况!A$2,0)))*R118*S118</f>
        <v/>
      </c>
      <c r="W118" s="0">
        <f>IF(V118&lt;0,0,V118)</f>
        <v/>
      </c>
    </row>
    <row r="119">
      <c r="B119" s="0" t="inlineStr">
        <is>
          <t>已删除</t>
        </is>
      </c>
      <c r="E119" s="0" t="inlineStr">
        <is>
          <t>亚洲</t>
        </is>
      </c>
      <c r="F119" s="0" t="inlineStr">
        <is>
          <t>巴勒斯坦超声户表二开</t>
        </is>
      </c>
      <c r="G119" s="0" t="inlineStr">
        <is>
          <t>2026-07-09</t>
        </is>
      </c>
      <c r="H119" s="0" t="inlineStr">
        <is>
          <t>2026-08-15</t>
        </is>
      </c>
      <c r="I119" s="0" t="inlineStr">
        <is>
          <t>TR5</t>
        </is>
      </c>
      <c r="J119" s="0" t="inlineStr">
        <is>
          <t>项目结项评审</t>
        </is>
      </c>
      <c r="K119" s="0" t="inlineStr">
        <is>
          <t>@毛文豪(80018842)</t>
        </is>
      </c>
      <c r="L119" s="0" t="inlineStr">
        <is>
          <t>2026-08-14</t>
        </is>
      </c>
      <c r="M119" s="0" t="inlineStr">
        <is>
          <t>2026-08-15</t>
        </is>
      </c>
      <c r="N119" s="0" t="n">
        <v>1</v>
      </c>
      <c r="O119" s="0">
        <f>任务计划表!K119</f>
        <v/>
      </c>
      <c r="P119" s="0">
        <f>IF(IF(任务计划表!L119="/",人员资源情况!$A$2,L119)&gt;M119,M119,(IF(任务计划表!L119="/",人员资源情况!$A$2,L119)))</f>
        <v/>
      </c>
      <c r="Q119" s="0">
        <f>IF(M119="/",人员资源情况!$B$2,任务计划表!M119)</f>
        <v/>
      </c>
      <c r="R119" s="0">
        <f>任务计划表!N119</f>
        <v/>
      </c>
      <c r="S119" s="0">
        <f>IF(O119=人员资源情况!C$2,1,0)</f>
        <v/>
      </c>
      <c r="T119" s="0">
        <f>IF(P119&gt;=人员资源情况!A$2,1,0)</f>
        <v/>
      </c>
      <c r="U119" s="0">
        <f>IF(Q119&lt;=人员资源情况!B$2,1,0)</f>
        <v/>
      </c>
      <c r="V119" s="0">
        <f>IF(T119*U119,Q119-P119,IF(T119&gt;U119,人员资源情况!B$2-P119,IF(T119&lt;U119,任务计划表!Q119-人员资源情况!A$2,0)))*R119*S119</f>
        <v/>
      </c>
      <c r="W119" s="0">
        <f>IF(V119&lt;0,0,V119)</f>
        <v/>
      </c>
    </row>
    <row r="120">
      <c r="B120" s="0" t="inlineStr">
        <is>
          <t>已删除</t>
        </is>
      </c>
      <c r="E120" s="0" t="inlineStr">
        <is>
          <t>亚洲</t>
        </is>
      </c>
      <c r="F120" s="0" t="inlineStr">
        <is>
          <t>巴勒斯坦超声户表二开</t>
        </is>
      </c>
      <c r="G120" s="0" t="inlineStr">
        <is>
          <t>2026-07-09</t>
        </is>
      </c>
      <c r="H120" s="0" t="inlineStr">
        <is>
          <t>2026-08-15</t>
        </is>
      </c>
      <c r="I120" s="0" t="inlineStr">
        <is>
          <t>TR1</t>
        </is>
      </c>
      <c r="J120" s="0" t="inlineStr">
        <is>
          <t>需求导入</t>
        </is>
      </c>
      <c r="K120" s="0" t="inlineStr">
        <is>
          <t>@毛文豪(80018842)</t>
        </is>
      </c>
      <c r="L120" s="0" t="inlineStr">
        <is>
          <t>2026-07-09</t>
        </is>
      </c>
      <c r="M120" s="0" t="inlineStr">
        <is>
          <t>2026-07-10</t>
        </is>
      </c>
      <c r="N120" s="0" t="n">
        <v>0</v>
      </c>
      <c r="O120" s="0">
        <f>任务计划表!K120</f>
        <v/>
      </c>
      <c r="P120" s="0">
        <f>IF(IF(任务计划表!L120="/",人员资源情况!$A$2,L120)&gt;M120,M120,(IF(任务计划表!L120="/",人员资源情况!$A$2,L120)))</f>
        <v/>
      </c>
      <c r="Q120" s="0">
        <f>IF(M120="/",人员资源情况!$B$2,任务计划表!M120)</f>
        <v/>
      </c>
      <c r="R120" s="0">
        <f>任务计划表!N120</f>
        <v/>
      </c>
      <c r="S120" s="0">
        <f>IF(O120=人员资源情况!C$2,1,0)</f>
        <v/>
      </c>
      <c r="T120" s="0">
        <f>IF(P120&gt;=人员资源情况!A$2,1,0)</f>
        <v/>
      </c>
      <c r="U120" s="0">
        <f>IF(Q120&lt;=人员资源情况!B$2,1,0)</f>
        <v/>
      </c>
      <c r="V120" s="0">
        <f>IF(T120*U120,Q120-P120,IF(T120&gt;U120,人员资源情况!B$2-P120,IF(T120&lt;U120,任务计划表!Q120-人员资源情况!A$2,0)))*R120*S120</f>
        <v/>
      </c>
      <c r="W120" s="0">
        <f>IF(V120&lt;0,0,V120)</f>
        <v/>
      </c>
    </row>
    <row r="121">
      <c r="B121" s="0" t="inlineStr">
        <is>
          <t>已删除</t>
        </is>
      </c>
      <c r="E121" s="0" t="inlineStr">
        <is>
          <t>亚洲</t>
        </is>
      </c>
      <c r="F121" s="0" t="inlineStr">
        <is>
          <t>巴勒斯坦超声户表二开</t>
        </is>
      </c>
      <c r="G121" s="0" t="inlineStr">
        <is>
          <t>2026-07-09</t>
        </is>
      </c>
      <c r="H121" s="0" t="inlineStr">
        <is>
          <t>2026-08-15</t>
        </is>
      </c>
      <c r="I121" s="0" t="inlineStr">
        <is>
          <t>TR1</t>
        </is>
      </c>
      <c r="J121" s="0" t="inlineStr">
        <is>
          <t>需求评审</t>
        </is>
      </c>
      <c r="K121" s="0" t="inlineStr">
        <is>
          <t>@毛文豪(80018842)</t>
        </is>
      </c>
      <c r="L121" s="0" t="inlineStr">
        <is>
          <t>2026-07-09</t>
        </is>
      </c>
      <c r="M121" s="0" t="inlineStr">
        <is>
          <t>2026-07-10</t>
        </is>
      </c>
      <c r="N121" s="0" t="n">
        <v>0</v>
      </c>
      <c r="O121" s="0">
        <f>任务计划表!K121</f>
        <v/>
      </c>
      <c r="P121" s="0">
        <f>IF(IF(任务计划表!L121="/",人员资源情况!$A$2,L121)&gt;M121,M121,(IF(任务计划表!L121="/",人员资源情况!$A$2,L121)))</f>
        <v/>
      </c>
      <c r="Q121" s="0">
        <f>IF(M121="/",人员资源情况!$B$2,任务计划表!M121)</f>
        <v/>
      </c>
      <c r="R121" s="0">
        <f>任务计划表!N121</f>
        <v/>
      </c>
      <c r="S121" s="0">
        <f>IF(O121=人员资源情况!C$2,1,0)</f>
        <v/>
      </c>
      <c r="T121" s="0">
        <f>IF(P121&gt;=人员资源情况!A$2,1,0)</f>
        <v/>
      </c>
      <c r="U121" s="0">
        <f>IF(Q121&lt;=人员资源情况!B$2,1,0)</f>
        <v/>
      </c>
      <c r="V121" s="0">
        <f>IF(T121*U121,Q121-P121,IF(T121&gt;U121,人员资源情况!B$2-P121,IF(T121&lt;U121,任务计划表!Q121-人员资源情况!A$2,0)))*R121*S121</f>
        <v/>
      </c>
      <c r="W121" s="0">
        <f>IF(V121&lt;0,0,V121)</f>
        <v/>
      </c>
    </row>
    <row r="122">
      <c r="B122" s="0" t="inlineStr">
        <is>
          <t>已删除</t>
        </is>
      </c>
      <c r="E122" s="0" t="inlineStr">
        <is>
          <t>亚洲</t>
        </is>
      </c>
      <c r="F122" s="0" t="inlineStr">
        <is>
          <t>巴勒斯坦超声户表二开</t>
        </is>
      </c>
      <c r="G122" s="0" t="inlineStr">
        <is>
          <t>2026-07-09</t>
        </is>
      </c>
      <c r="H122" s="0" t="inlineStr">
        <is>
          <t>2026-08-15</t>
        </is>
      </c>
      <c r="I122" s="0" t="inlineStr">
        <is>
          <t>TR3</t>
        </is>
      </c>
      <c r="J122" s="0" t="inlineStr">
        <is>
          <t>巴勒斯坦二开SE文档评审</t>
        </is>
      </c>
      <c r="K122" s="0" t="inlineStr">
        <is>
          <t>@毛文豪(80018842)</t>
        </is>
      </c>
      <c r="L122" s="0" t="inlineStr">
        <is>
          <t>2026-07-21</t>
        </is>
      </c>
      <c r="M122" s="0" t="inlineStr">
        <is>
          <t>2026-07-23</t>
        </is>
      </c>
      <c r="N122" s="0" t="n">
        <v>8</v>
      </c>
      <c r="O122" s="0">
        <f>任务计划表!K122</f>
        <v/>
      </c>
      <c r="P122" s="0">
        <f>IF(IF(任务计划表!L122="/",人员资源情况!$A$2,L122)&gt;M122,M122,(IF(任务计划表!L122="/",人员资源情况!$A$2,L122)))</f>
        <v/>
      </c>
      <c r="Q122" s="0">
        <f>IF(M122="/",人员资源情况!$B$2,任务计划表!M122)</f>
        <v/>
      </c>
      <c r="R122" s="0">
        <f>任务计划表!N122</f>
        <v/>
      </c>
      <c r="S122" s="0">
        <f>IF(O122=人员资源情况!C$2,1,0)</f>
        <v/>
      </c>
      <c r="T122" s="0">
        <f>IF(P122&gt;=人员资源情况!A$2,1,0)</f>
        <v/>
      </c>
      <c r="U122" s="0">
        <f>IF(Q122&lt;=人员资源情况!B$2,1,0)</f>
        <v/>
      </c>
      <c r="V122" s="0">
        <f>IF(T122*U122,Q122-P122,IF(T122&gt;U122,人员资源情况!B$2-P122,IF(T122&lt;U122,任务计划表!Q122-人员资源情况!A$2,0)))*R122*S122</f>
        <v/>
      </c>
      <c r="W122" s="0">
        <f>IF(V122&lt;0,0,V122)</f>
        <v/>
      </c>
    </row>
    <row r="123">
      <c r="B123" s="0" t="inlineStr">
        <is>
          <t>已删除</t>
        </is>
      </c>
      <c r="E123" s="0" t="inlineStr">
        <is>
          <t>亚洲</t>
        </is>
      </c>
      <c r="F123" s="0" t="inlineStr">
        <is>
          <t>巴勒斯坦超声户表二开</t>
        </is>
      </c>
      <c r="G123" s="0" t="inlineStr">
        <is>
          <t>2026-07-09</t>
        </is>
      </c>
      <c r="H123" s="0" t="inlineStr">
        <is>
          <t>2026-08-15</t>
        </is>
      </c>
      <c r="I123" s="0" t="inlineStr">
        <is>
          <t>TR4</t>
        </is>
      </c>
      <c r="J123" s="0" t="inlineStr">
        <is>
          <t>水表固件代码编写</t>
        </is>
      </c>
      <c r="K123" s="0" t="inlineStr">
        <is>
          <t>@毛文豪(80018842)</t>
        </is>
      </c>
      <c r="L123" s="0" t="inlineStr">
        <is>
          <t>2026-07-23</t>
        </is>
      </c>
      <c r="M123" s="0" t="inlineStr">
        <is>
          <t>2026-07-25</t>
        </is>
      </c>
      <c r="N123" s="0" t="n">
        <v>6</v>
      </c>
      <c r="O123" s="0">
        <f>任务计划表!K123</f>
        <v/>
      </c>
      <c r="P123" s="0">
        <f>IF(IF(任务计划表!L123="/",人员资源情况!$A$2,L123)&gt;M123,M123,(IF(任务计划表!L123="/",人员资源情况!$A$2,L123)))</f>
        <v/>
      </c>
      <c r="Q123" s="0">
        <f>IF(M123="/",人员资源情况!$B$2,任务计划表!M123)</f>
        <v/>
      </c>
      <c r="R123" s="0">
        <f>任务计划表!N123</f>
        <v/>
      </c>
      <c r="S123" s="0">
        <f>IF(O123=人员资源情况!C$2,1,0)</f>
        <v/>
      </c>
      <c r="T123" s="0">
        <f>IF(P123&gt;=人员资源情况!A$2,1,0)</f>
        <v/>
      </c>
      <c r="U123" s="0">
        <f>IF(Q123&lt;=人员资源情况!B$2,1,0)</f>
        <v/>
      </c>
      <c r="V123" s="0">
        <f>IF(T123*U123,Q123-P123,IF(T123&gt;U123,人员资源情况!B$2-P123,IF(T123&lt;U123,任务计划表!Q123-人员资源情况!A$2,0)))*R123*S123</f>
        <v/>
      </c>
      <c r="W123" s="0">
        <f>IF(V123&lt;0,0,V123)</f>
        <v/>
      </c>
    </row>
    <row r="124">
      <c r="B124" s="0" t="inlineStr">
        <is>
          <t>已删除</t>
        </is>
      </c>
      <c r="E124" s="0" t="inlineStr">
        <is>
          <t>亚洲</t>
        </is>
      </c>
      <c r="F124" s="0" t="inlineStr">
        <is>
          <t>巴勒斯坦超声户表二开</t>
        </is>
      </c>
      <c r="G124" s="0" t="inlineStr">
        <is>
          <t>2026-07-09</t>
        </is>
      </c>
      <c r="H124" s="0" t="inlineStr">
        <is>
          <t>2026-08-15</t>
        </is>
      </c>
      <c r="I124" s="0" t="inlineStr">
        <is>
          <t>TR4</t>
        </is>
      </c>
      <c r="J124" s="0" t="inlineStr">
        <is>
          <t>水表固件自测</t>
        </is>
      </c>
      <c r="K124" s="0" t="inlineStr">
        <is>
          <t>@毛文豪(80018842)</t>
        </is>
      </c>
      <c r="L124" s="0" t="inlineStr">
        <is>
          <t>2026-07-27</t>
        </is>
      </c>
      <c r="M124" s="0" t="inlineStr">
        <is>
          <t>2026-07-29</t>
        </is>
      </c>
      <c r="N124" s="0" t="n">
        <v>6</v>
      </c>
      <c r="O124" s="0">
        <f>任务计划表!K124</f>
        <v/>
      </c>
      <c r="P124" s="0">
        <f>IF(IF(任务计划表!L124="/",人员资源情况!$A$2,L124)&gt;M124,M124,(IF(任务计划表!L124="/",人员资源情况!$A$2,L124)))</f>
        <v/>
      </c>
      <c r="Q124" s="0">
        <f>IF(M124="/",人员资源情况!$B$2,任务计划表!M124)</f>
        <v/>
      </c>
      <c r="R124" s="0">
        <f>任务计划表!N124</f>
        <v/>
      </c>
      <c r="S124" s="0">
        <f>IF(O124=人员资源情况!C$2,1,0)</f>
        <v/>
      </c>
      <c r="T124" s="0">
        <f>IF(P124&gt;=人员资源情况!A$2,1,0)</f>
        <v/>
      </c>
      <c r="U124" s="0">
        <f>IF(Q124&lt;=人员资源情况!B$2,1,0)</f>
        <v/>
      </c>
      <c r="V124" s="0">
        <f>IF(T124*U124,Q124-P124,IF(T124&gt;U124,人员资源情况!B$2-P124,IF(T124&lt;U124,任务计划表!Q124-人员资源情况!A$2,0)))*R124*S124</f>
        <v/>
      </c>
      <c r="W124" s="0">
        <f>IF(V124&lt;0,0,V124)</f>
        <v/>
      </c>
    </row>
    <row r="125">
      <c r="B125" s="0" t="inlineStr">
        <is>
          <t>已删除</t>
        </is>
      </c>
      <c r="E125" s="0" t="inlineStr">
        <is>
          <t>亚洲</t>
        </is>
      </c>
      <c r="F125" s="0" t="inlineStr">
        <is>
          <t>巴勒斯坦超声户表二开</t>
        </is>
      </c>
      <c r="G125" s="0" t="inlineStr">
        <is>
          <t>2026-07-09</t>
        </is>
      </c>
      <c r="H125" s="0" t="inlineStr">
        <is>
          <t>2026-08-15</t>
        </is>
      </c>
      <c r="I125" s="0" t="inlineStr">
        <is>
          <t>TR4</t>
        </is>
      </c>
      <c r="J125" s="0" t="inlineStr">
        <is>
          <t>CIU固件代码编写</t>
        </is>
      </c>
      <c r="K125" s="0" t="inlineStr">
        <is>
          <t>@毛文豪(80018842)</t>
        </is>
      </c>
      <c r="L125" s="0" t="inlineStr">
        <is>
          <t>2026-07-29</t>
        </is>
      </c>
      <c r="M125" s="0" t="inlineStr">
        <is>
          <t>2026-07-30</t>
        </is>
      </c>
      <c r="N125" s="0" t="n">
        <v>6</v>
      </c>
      <c r="O125" s="0">
        <f>任务计划表!K125</f>
        <v/>
      </c>
      <c r="P125" s="0">
        <f>IF(IF(任务计划表!L125="/",人员资源情况!$A$2,L125)&gt;M125,M125,(IF(任务计划表!L125="/",人员资源情况!$A$2,L125)))</f>
        <v/>
      </c>
      <c r="Q125" s="0">
        <f>IF(M125="/",人员资源情况!$B$2,任务计划表!M125)</f>
        <v/>
      </c>
      <c r="R125" s="0">
        <f>任务计划表!N125</f>
        <v/>
      </c>
      <c r="S125" s="0">
        <f>IF(O125=人员资源情况!C$2,1,0)</f>
        <v/>
      </c>
      <c r="T125" s="0">
        <f>IF(P125&gt;=人员资源情况!A$2,1,0)</f>
        <v/>
      </c>
      <c r="U125" s="0">
        <f>IF(Q125&lt;=人员资源情况!B$2,1,0)</f>
        <v/>
      </c>
      <c r="V125" s="0">
        <f>IF(T125*U125,Q125-P125,IF(T125&gt;U125,人员资源情况!B$2-P125,IF(T125&lt;U125,任务计划表!Q125-人员资源情况!A$2,0)))*R125*S125</f>
        <v/>
      </c>
      <c r="W125" s="0">
        <f>IF(V125&lt;0,0,V125)</f>
        <v/>
      </c>
    </row>
    <row r="126">
      <c r="B126" s="0" t="inlineStr">
        <is>
          <t>已删除</t>
        </is>
      </c>
      <c r="E126" s="0" t="inlineStr">
        <is>
          <t>亚洲</t>
        </is>
      </c>
      <c r="F126" s="0" t="inlineStr">
        <is>
          <t>巴勒斯坦超声户表二开</t>
        </is>
      </c>
      <c r="G126" s="0" t="inlineStr">
        <is>
          <t>2026-07-09</t>
        </is>
      </c>
      <c r="H126" s="0" t="inlineStr">
        <is>
          <t>2026-08-15</t>
        </is>
      </c>
      <c r="I126" s="0" t="inlineStr">
        <is>
          <t>TR4A</t>
        </is>
      </c>
      <c r="J126" s="0" t="inlineStr">
        <is>
          <t>样机制作</t>
        </is>
      </c>
      <c r="K126" s="0" t="inlineStr">
        <is>
          <t>@文春英</t>
        </is>
      </c>
      <c r="L126" s="0" t="inlineStr">
        <is>
          <t>2026-07-30</t>
        </is>
      </c>
      <c r="M126" s="0" t="inlineStr">
        <is>
          <t>2026-08-03</t>
        </is>
      </c>
      <c r="N126" s="0" t="n">
        <v>2</v>
      </c>
      <c r="O126" s="0">
        <f>任务计划表!K126</f>
        <v/>
      </c>
      <c r="P126" s="0">
        <f>IF(IF(任务计划表!L126="/",人员资源情况!$A$2,L126)&gt;M126,M126,(IF(任务计划表!L126="/",人员资源情况!$A$2,L126)))</f>
        <v/>
      </c>
      <c r="Q126" s="0">
        <f>IF(M126="/",人员资源情况!$B$2,任务计划表!M126)</f>
        <v/>
      </c>
      <c r="R126" s="0">
        <f>任务计划表!N126</f>
        <v/>
      </c>
      <c r="S126" s="0">
        <f>IF(O126=人员资源情况!C$2,1,0)</f>
        <v/>
      </c>
      <c r="T126" s="0">
        <f>IF(P126&gt;=人员资源情况!A$2,1,0)</f>
        <v/>
      </c>
      <c r="U126" s="0">
        <f>IF(Q126&lt;=人员资源情况!B$2,1,0)</f>
        <v/>
      </c>
      <c r="V126" s="0">
        <f>IF(T126*U126,Q126-P126,IF(T126&gt;U126,人员资源情况!B$2-P126,IF(T126&lt;U126,任务计划表!Q126-人员资源情况!A$2,0)))*R126*S126</f>
        <v/>
      </c>
      <c r="W126" s="0">
        <f>IF(V126&lt;0,0,V126)</f>
        <v/>
      </c>
    </row>
    <row r="127">
      <c r="B127" s="0" t="inlineStr">
        <is>
          <t>已删除</t>
        </is>
      </c>
      <c r="E127" s="0" t="inlineStr">
        <is>
          <t>亚洲</t>
        </is>
      </c>
      <c r="F127" s="0" t="inlineStr">
        <is>
          <t>巴勒斯坦超声户表二开</t>
        </is>
      </c>
      <c r="G127" s="0" t="inlineStr">
        <is>
          <t>2026-07-09</t>
        </is>
      </c>
      <c r="H127" s="0" t="inlineStr">
        <is>
          <t>2026-08-15</t>
        </is>
      </c>
      <c r="I127" s="0" t="inlineStr">
        <is>
          <t>TR4</t>
        </is>
      </c>
      <c r="J127" s="0" t="inlineStr">
        <is>
          <t>测试用例评审</t>
        </is>
      </c>
      <c r="K127" s="0" t="inlineStr">
        <is>
          <t>@袁知正</t>
        </is>
      </c>
      <c r="L127" s="0" t="inlineStr">
        <is>
          <t>2026-07-23</t>
        </is>
      </c>
      <c r="M127" s="0" t="inlineStr">
        <is>
          <t>2026-07-29</t>
        </is>
      </c>
      <c r="N127" s="0" t="n">
        <v>2</v>
      </c>
      <c r="O127" s="0">
        <f>任务计划表!K127</f>
        <v/>
      </c>
      <c r="P127" s="0">
        <f>IF(IF(任务计划表!L127="/",人员资源情况!$A$2,L127)&gt;M127,M127,(IF(任务计划表!L127="/",人员资源情况!$A$2,L127)))</f>
        <v/>
      </c>
      <c r="Q127" s="0">
        <f>IF(M127="/",人员资源情况!$B$2,任务计划表!M127)</f>
        <v/>
      </c>
      <c r="R127" s="0">
        <f>任务计划表!N127</f>
        <v/>
      </c>
      <c r="S127" s="0">
        <f>IF(O127=人员资源情况!C$2,1,0)</f>
        <v/>
      </c>
      <c r="T127" s="0">
        <f>IF(P127&gt;=人员资源情况!A$2,1,0)</f>
        <v/>
      </c>
      <c r="U127" s="0">
        <f>IF(Q127&lt;=人员资源情况!B$2,1,0)</f>
        <v/>
      </c>
      <c r="V127" s="0">
        <f>IF(T127*U127,Q127-P127,IF(T127&gt;U127,人员资源情况!B$2-P127,IF(T127&lt;U127,任务计划表!Q127-人员资源情况!A$2,0)))*R127*S127</f>
        <v/>
      </c>
      <c r="W127" s="0">
        <f>IF(V127&lt;0,0,V127)</f>
        <v/>
      </c>
    </row>
    <row r="128">
      <c r="B128" s="0" t="inlineStr">
        <is>
          <t>已删除</t>
        </is>
      </c>
      <c r="E128" s="0" t="inlineStr">
        <is>
          <t>亚洲</t>
        </is>
      </c>
      <c r="F128" s="0" t="inlineStr">
        <is>
          <t>巴勒斯坦超声户表二开</t>
        </is>
      </c>
      <c r="G128" s="0" t="inlineStr">
        <is>
          <t>2026-07-09</t>
        </is>
      </c>
      <c r="H128" s="0" t="inlineStr">
        <is>
          <t>2026-08-15</t>
        </is>
      </c>
      <c r="I128" s="0" t="inlineStr">
        <is>
          <t>TR4A</t>
        </is>
      </c>
      <c r="J128" s="0" t="inlineStr">
        <is>
          <t>测试报告</t>
        </is>
      </c>
      <c r="K128" s="0" t="inlineStr">
        <is>
          <t>@袁知正</t>
        </is>
      </c>
      <c r="L128" s="0" t="inlineStr">
        <is>
          <t>2026-07-30</t>
        </is>
      </c>
      <c r="M128" s="0" t="inlineStr">
        <is>
          <t>2026-08-12</t>
        </is>
      </c>
      <c r="N128" s="0" t="n">
        <v>8</v>
      </c>
      <c r="O128" s="0">
        <f>任务计划表!K128</f>
        <v/>
      </c>
      <c r="P128" s="0">
        <f>IF(IF(任务计划表!L128="/",人员资源情况!$A$2,L128)&gt;M128,M128,(IF(任务计划表!L128="/",人员资源情况!$A$2,L128)))</f>
        <v/>
      </c>
      <c r="Q128" s="0">
        <f>IF(M128="/",人员资源情况!$B$2,任务计划表!M128)</f>
        <v/>
      </c>
      <c r="R128" s="0">
        <f>任务计划表!N128</f>
        <v/>
      </c>
      <c r="S128" s="0">
        <f>IF(O128=人员资源情况!C$2,1,0)</f>
        <v/>
      </c>
      <c r="T128" s="0">
        <f>IF(P128&gt;=人员资源情况!A$2,1,0)</f>
        <v/>
      </c>
      <c r="U128" s="0">
        <f>IF(Q128&lt;=人员资源情况!B$2,1,0)</f>
        <v/>
      </c>
      <c r="V128" s="0">
        <f>IF(T128*U128,Q128-P128,IF(T128&gt;U128,人员资源情况!B$2-P128,IF(T128&lt;U128,任务计划表!Q128-人员资源情况!A$2,0)))*R128*S128</f>
        <v/>
      </c>
      <c r="W128" s="0">
        <f>IF(V128&lt;0,0,V128)</f>
        <v/>
      </c>
    </row>
    <row r="129">
      <c r="B129" s="0" t="inlineStr">
        <is>
          <t>已删除</t>
        </is>
      </c>
      <c r="E129" s="0" t="inlineStr">
        <is>
          <t>亚洲</t>
        </is>
      </c>
      <c r="F129" s="0" t="inlineStr">
        <is>
          <t>巴勒斯坦超声户表二开</t>
        </is>
      </c>
      <c r="G129" s="0" t="inlineStr">
        <is>
          <t>2026-07-09</t>
        </is>
      </c>
      <c r="H129" s="0" t="inlineStr">
        <is>
          <t>2026-08-15</t>
        </is>
      </c>
      <c r="I129" s="0" t="inlineStr">
        <is>
          <t>TR4A</t>
        </is>
      </c>
      <c r="J129" s="0" t="inlineStr">
        <is>
          <t>测试报告评审</t>
        </is>
      </c>
      <c r="K129" s="0" t="inlineStr">
        <is>
          <t>@袁知正</t>
        </is>
      </c>
      <c r="L129" s="0" t="inlineStr">
        <is>
          <t>2026-08-12</t>
        </is>
      </c>
      <c r="M129" s="0" t="inlineStr">
        <is>
          <t>2026-08-13</t>
        </is>
      </c>
      <c r="N129" s="0" t="n">
        <v>1</v>
      </c>
      <c r="O129" s="0">
        <f>任务计划表!K129</f>
        <v/>
      </c>
      <c r="P129" s="0">
        <f>IF(IF(任务计划表!L129="/",人员资源情况!$A$2,L129)&gt;M129,M129,(IF(任务计划表!L129="/",人员资源情况!$A$2,L129)))</f>
        <v/>
      </c>
      <c r="Q129" s="0">
        <f>IF(M129="/",人员资源情况!$B$2,任务计划表!M129)</f>
        <v/>
      </c>
      <c r="R129" s="0">
        <f>任务计划表!N129</f>
        <v/>
      </c>
      <c r="S129" s="0">
        <f>IF(O129=人员资源情况!C$2,1,0)</f>
        <v/>
      </c>
      <c r="T129" s="0">
        <f>IF(P129&gt;=人员资源情况!A$2,1,0)</f>
        <v/>
      </c>
      <c r="U129" s="0">
        <f>IF(Q129&lt;=人员资源情况!B$2,1,0)</f>
        <v/>
      </c>
      <c r="V129" s="0">
        <f>IF(T129*U129,Q129-P129,IF(T129&gt;U129,人员资源情况!B$2-P129,IF(T129&lt;U129,任务计划表!Q129-人员资源情况!A$2,0)))*R129*S129</f>
        <v/>
      </c>
      <c r="W129" s="0">
        <f>IF(V129&lt;0,0,V129)</f>
        <v/>
      </c>
    </row>
    <row r="130">
      <c r="B130" s="0" t="inlineStr">
        <is>
          <t>已删除</t>
        </is>
      </c>
      <c r="E130" s="0" t="inlineStr">
        <is>
          <t>亚洲</t>
        </is>
      </c>
      <c r="F130" s="0" t="inlineStr">
        <is>
          <t>巴勒斯坦超声户表二开</t>
        </is>
      </c>
      <c r="G130" s="0" t="inlineStr">
        <is>
          <t>2026-07-09</t>
        </is>
      </c>
      <c r="H130" s="0" t="inlineStr">
        <is>
          <t>2026-08-15</t>
        </is>
      </c>
      <c r="I130" s="0" t="inlineStr">
        <is>
          <t>TR5</t>
        </is>
      </c>
      <c r="J130" s="0" t="inlineStr">
        <is>
          <t>生产工艺及规程制定</t>
        </is>
      </c>
      <c r="K130" s="0" t="inlineStr">
        <is>
          <t>@肖庆阳</t>
        </is>
      </c>
      <c r="L130" s="0" t="inlineStr">
        <is>
          <t>2026-08-13</t>
        </is>
      </c>
      <c r="M130" s="0" t="inlineStr">
        <is>
          <t>2026-08-14</t>
        </is>
      </c>
      <c r="N130" s="0" t="n">
        <v>8</v>
      </c>
      <c r="O130" s="0">
        <f>任务计划表!K130</f>
        <v/>
      </c>
      <c r="P130" s="0">
        <f>IF(IF(任务计划表!L130="/",人员资源情况!$A$2,L130)&gt;M130,M130,(IF(任务计划表!L130="/",人员资源情况!$A$2,L130)))</f>
        <v/>
      </c>
      <c r="Q130" s="0">
        <f>IF(M130="/",人员资源情况!$B$2,任务计划表!M130)</f>
        <v/>
      </c>
      <c r="R130" s="0">
        <f>任务计划表!N130</f>
        <v/>
      </c>
      <c r="S130" s="0">
        <f>IF(O130=人员资源情况!C$2,1,0)</f>
        <v/>
      </c>
      <c r="T130" s="0">
        <f>IF(P130&gt;=人员资源情况!A$2,1,0)</f>
        <v/>
      </c>
      <c r="U130" s="0">
        <f>IF(Q130&lt;=人员资源情况!B$2,1,0)</f>
        <v/>
      </c>
      <c r="V130" s="0">
        <f>IF(T130*U130,Q130-P130,IF(T130&gt;U130,人员资源情况!B$2-P130,IF(T130&lt;U130,任务计划表!Q130-人员资源情况!A$2,0)))*R130*S130</f>
        <v/>
      </c>
      <c r="W130" s="0">
        <f>IF(V130&lt;0,0,V130)</f>
        <v/>
      </c>
    </row>
    <row r="131">
      <c r="B131" s="0" t="inlineStr">
        <is>
          <t>已删除</t>
        </is>
      </c>
      <c r="E131" s="0" t="inlineStr">
        <is>
          <t>亚洲</t>
        </is>
      </c>
      <c r="F131" s="0" t="inlineStr">
        <is>
          <t>巴勒斯坦超声户表二开</t>
        </is>
      </c>
      <c r="G131" s="0" t="inlineStr">
        <is>
          <t>2026-07-09</t>
        </is>
      </c>
      <c r="H131" s="0" t="inlineStr">
        <is>
          <t>2026-08-15</t>
        </is>
      </c>
      <c r="I131" s="0" t="inlineStr">
        <is>
          <t>TR5</t>
        </is>
      </c>
      <c r="J131" s="0" t="inlineStr">
        <is>
          <t>产品参数配置表</t>
        </is>
      </c>
      <c r="K131" s="0" t="inlineStr">
        <is>
          <t>@毛文豪(80018842)</t>
        </is>
      </c>
      <c r="L131" s="0" t="inlineStr">
        <is>
          <t>2026-08-13</t>
        </is>
      </c>
      <c r="M131" s="0" t="inlineStr">
        <is>
          <t>2026-08-14</t>
        </is>
      </c>
      <c r="N131" s="0" t="n">
        <v>2</v>
      </c>
      <c r="O131" s="0">
        <f>任务计划表!K131</f>
        <v/>
      </c>
      <c r="P131" s="0">
        <f>IF(IF(任务计划表!L131="/",人员资源情况!$A$2,L131)&gt;M131,M131,(IF(任务计划表!L131="/",人员资源情况!$A$2,L131)))</f>
        <v/>
      </c>
      <c r="Q131" s="0">
        <f>IF(M131="/",人员资源情况!$B$2,任务计划表!M131)</f>
        <v/>
      </c>
      <c r="R131" s="0">
        <f>任务计划表!N131</f>
        <v/>
      </c>
      <c r="S131" s="0">
        <f>IF(O131=人员资源情况!C$2,1,0)</f>
        <v/>
      </c>
      <c r="T131" s="0">
        <f>IF(P131&gt;=人员资源情况!A$2,1,0)</f>
        <v/>
      </c>
      <c r="U131" s="0">
        <f>IF(Q131&lt;=人员资源情况!B$2,1,0)</f>
        <v/>
      </c>
      <c r="V131" s="0">
        <f>IF(T131*U131,Q131-P131,IF(T131&gt;U131,人员资源情况!B$2-P131,IF(T131&lt;U131,任务计划表!Q131-人员资源情况!A$2,0)))*R131*S131</f>
        <v/>
      </c>
      <c r="W131" s="0">
        <f>IF(V131&lt;0,0,V131)</f>
        <v/>
      </c>
    </row>
    <row r="132">
      <c r="B132" s="0" t="inlineStr">
        <is>
          <t>已删除</t>
        </is>
      </c>
      <c r="E132" s="0" t="inlineStr">
        <is>
          <t>亚洲</t>
        </is>
      </c>
      <c r="F132" s="0" t="inlineStr">
        <is>
          <t>巴勒斯坦超声户表二开</t>
        </is>
      </c>
      <c r="G132" s="0" t="inlineStr">
        <is>
          <t>2026-07-09</t>
        </is>
      </c>
      <c r="H132" s="0" t="inlineStr">
        <is>
          <t>2026-08-15</t>
        </is>
      </c>
      <c r="I132" s="0" t="inlineStr">
        <is>
          <t>TR5</t>
        </is>
      </c>
      <c r="J132" s="0" t="inlineStr">
        <is>
          <t>生产资料归档</t>
        </is>
      </c>
      <c r="K132" s="0" t="inlineStr">
        <is>
          <t>@肖庆阳</t>
        </is>
      </c>
      <c r="L132" s="0" t="inlineStr">
        <is>
          <t>2026-08-14</t>
        </is>
      </c>
      <c r="M132" s="0" t="inlineStr">
        <is>
          <t>2026-08-15</t>
        </is>
      </c>
      <c r="N132" s="0" t="n">
        <v>8</v>
      </c>
      <c r="O132" s="0">
        <f>任务计划表!K132</f>
        <v/>
      </c>
      <c r="P132" s="0">
        <f>IF(IF(任务计划表!L132="/",人员资源情况!$A$2,L132)&gt;M132,M132,(IF(任务计划表!L132="/",人员资源情况!$A$2,L132)))</f>
        <v/>
      </c>
      <c r="Q132" s="0">
        <f>IF(M132="/",人员资源情况!$B$2,任务计划表!M132)</f>
        <v/>
      </c>
      <c r="R132" s="0">
        <f>任务计划表!N132</f>
        <v/>
      </c>
      <c r="S132" s="0">
        <f>IF(O132=人员资源情况!C$2,1,0)</f>
        <v/>
      </c>
      <c r="T132" s="0">
        <f>IF(P132&gt;=人员资源情况!A$2,1,0)</f>
        <v/>
      </c>
      <c r="U132" s="0">
        <f>IF(Q132&lt;=人员资源情况!B$2,1,0)</f>
        <v/>
      </c>
      <c r="V132" s="0">
        <f>IF(T132*U132,Q132-P132,IF(T132&gt;U132,人员资源情况!B$2-P132,IF(T132&lt;U132,任务计划表!Q132-人员资源情况!A$2,0)))*R132*S132</f>
        <v/>
      </c>
      <c r="W132" s="0">
        <f>IF(V132&lt;0,0,V132)</f>
        <v/>
      </c>
    </row>
    <row r="133">
      <c r="B133" s="0" t="inlineStr">
        <is>
          <t>已删除</t>
        </is>
      </c>
      <c r="E133" s="0" t="inlineStr">
        <is>
          <t>亚洲</t>
        </is>
      </c>
      <c r="F133" s="0" t="inlineStr">
        <is>
          <t>巴勒斯坦超声户表二开</t>
        </is>
      </c>
      <c r="G133" s="0" t="inlineStr">
        <is>
          <t>2026-07-09</t>
        </is>
      </c>
      <c r="H133" s="0" t="inlineStr">
        <is>
          <t>2026-08-15</t>
        </is>
      </c>
      <c r="I133" s="0" t="inlineStr">
        <is>
          <t>TR5</t>
        </is>
      </c>
      <c r="J133" s="0" t="inlineStr">
        <is>
          <t>项目结项评审</t>
        </is>
      </c>
      <c r="K133" s="0" t="inlineStr">
        <is>
          <t>@毛文豪(80018842)</t>
        </is>
      </c>
      <c r="L133" s="0" t="inlineStr">
        <is>
          <t>2026-08-14</t>
        </is>
      </c>
      <c r="M133" s="0" t="inlineStr">
        <is>
          <t>2026-08-15</t>
        </is>
      </c>
      <c r="N133" s="0" t="n">
        <v>1</v>
      </c>
      <c r="O133" s="0">
        <f>任务计划表!K133</f>
        <v/>
      </c>
      <c r="P133" s="0">
        <f>IF(IF(任务计划表!L133="/",人员资源情况!$A$2,L133)&gt;M133,M133,(IF(任务计划表!L133="/",人员资源情况!$A$2,L133)))</f>
        <v/>
      </c>
      <c r="Q133" s="0">
        <f>IF(M133="/",人员资源情况!$B$2,任务计划表!M133)</f>
        <v/>
      </c>
      <c r="R133" s="0">
        <f>任务计划表!N133</f>
        <v/>
      </c>
      <c r="S133" s="0">
        <f>IF(O133=人员资源情况!C$2,1,0)</f>
        <v/>
      </c>
      <c r="T133" s="0">
        <f>IF(P133&gt;=人员资源情况!A$2,1,0)</f>
        <v/>
      </c>
      <c r="U133" s="0">
        <f>IF(Q133&lt;=人员资源情况!B$2,1,0)</f>
        <v/>
      </c>
      <c r="V133" s="0">
        <f>IF(T133*U133,Q133-P133,IF(T133&gt;U133,人员资源情况!B$2-P133,IF(T133&lt;U133,任务计划表!Q133-人员资源情况!A$2,0)))*R133*S133</f>
        <v/>
      </c>
      <c r="W133" s="0">
        <f>IF(V133&lt;0,0,V133)</f>
        <v/>
      </c>
    </row>
    <row r="134">
      <c r="B134" s="0" t="inlineStr">
        <is>
          <t>已删除</t>
        </is>
      </c>
      <c r="E134" s="0" t="inlineStr">
        <is>
          <t>亚洲</t>
        </is>
      </c>
      <c r="F134" s="0" t="inlineStr">
        <is>
          <t>巴勒斯坦超声户表二开</t>
        </is>
      </c>
      <c r="G134" s="0" t="inlineStr">
        <is>
          <t>2026-07-09</t>
        </is>
      </c>
      <c r="H134" s="0" t="inlineStr">
        <is>
          <t>2026-08-15</t>
        </is>
      </c>
      <c r="I134" s="0" t="inlineStr">
        <is>
          <t>TR1</t>
        </is>
      </c>
      <c r="J134" s="0" t="inlineStr">
        <is>
          <t>需求导入</t>
        </is>
      </c>
      <c r="K134" s="0" t="inlineStr">
        <is>
          <t>@毛文豪(80018842)</t>
        </is>
      </c>
      <c r="L134" s="0" t="inlineStr">
        <is>
          <t>2026-07-09</t>
        </is>
      </c>
      <c r="M134" s="0" t="inlineStr">
        <is>
          <t>2026-07-10</t>
        </is>
      </c>
      <c r="N134" s="0" t="n">
        <v>0</v>
      </c>
      <c r="O134" s="0">
        <f>任务计划表!K134</f>
        <v/>
      </c>
      <c r="P134" s="0">
        <f>IF(IF(任务计划表!L134="/",人员资源情况!$A$2,L134)&gt;M134,M134,(IF(任务计划表!L134="/",人员资源情况!$A$2,L134)))</f>
        <v/>
      </c>
      <c r="Q134" s="0">
        <f>IF(M134="/",人员资源情况!$B$2,任务计划表!M134)</f>
        <v/>
      </c>
      <c r="R134" s="0">
        <f>任务计划表!N134</f>
        <v/>
      </c>
      <c r="S134" s="0">
        <f>IF(O134=人员资源情况!C$2,1,0)</f>
        <v/>
      </c>
      <c r="T134" s="0">
        <f>IF(P134&gt;=人员资源情况!A$2,1,0)</f>
        <v/>
      </c>
      <c r="U134" s="0">
        <f>IF(Q134&lt;=人员资源情况!B$2,1,0)</f>
        <v/>
      </c>
      <c r="V134" s="0">
        <f>IF(T134*U134,Q134-P134,IF(T134&gt;U134,人员资源情况!B$2-P134,IF(T134&lt;U134,任务计划表!Q134-人员资源情况!A$2,0)))*R134*S134</f>
        <v/>
      </c>
      <c r="W134" s="0">
        <f>IF(V134&lt;0,0,V134)</f>
        <v/>
      </c>
    </row>
    <row r="135">
      <c r="B135" s="0" t="inlineStr">
        <is>
          <t>已删除</t>
        </is>
      </c>
      <c r="E135" s="0" t="inlineStr">
        <is>
          <t>亚洲</t>
        </is>
      </c>
      <c r="F135" s="0" t="inlineStr">
        <is>
          <t>巴勒斯坦超声户表二开</t>
        </is>
      </c>
      <c r="G135" s="0" t="inlineStr">
        <is>
          <t>2026-07-09</t>
        </is>
      </c>
      <c r="H135" s="0" t="inlineStr">
        <is>
          <t>2026-08-15</t>
        </is>
      </c>
      <c r="I135" s="0" t="inlineStr">
        <is>
          <t>TR1</t>
        </is>
      </c>
      <c r="J135" s="0" t="inlineStr">
        <is>
          <t>需求评审</t>
        </is>
      </c>
      <c r="K135" s="0" t="inlineStr">
        <is>
          <t>@毛文豪(80018842)</t>
        </is>
      </c>
      <c r="L135" s="0" t="inlineStr">
        <is>
          <t>2026-07-09</t>
        </is>
      </c>
      <c r="M135" s="0" t="inlineStr">
        <is>
          <t>2026-07-10</t>
        </is>
      </c>
      <c r="N135" s="0" t="n">
        <v>0</v>
      </c>
      <c r="O135" s="0">
        <f>任务计划表!K135</f>
        <v/>
      </c>
      <c r="P135" s="0">
        <f>IF(IF(任务计划表!L135="/",人员资源情况!$A$2,L135)&gt;M135,M135,(IF(任务计划表!L135="/",人员资源情况!$A$2,L135)))</f>
        <v/>
      </c>
      <c r="Q135" s="0">
        <f>IF(M135="/",人员资源情况!$B$2,任务计划表!M135)</f>
        <v/>
      </c>
      <c r="R135" s="0">
        <f>任务计划表!N135</f>
        <v/>
      </c>
      <c r="S135" s="0">
        <f>IF(O135=人员资源情况!C$2,1,0)</f>
        <v/>
      </c>
      <c r="T135" s="0">
        <f>IF(P135&gt;=人员资源情况!A$2,1,0)</f>
        <v/>
      </c>
      <c r="U135" s="0">
        <f>IF(Q135&lt;=人员资源情况!B$2,1,0)</f>
        <v/>
      </c>
      <c r="V135" s="0">
        <f>IF(T135*U135,Q135-P135,IF(T135&gt;U135,人员资源情况!B$2-P135,IF(T135&lt;U135,任务计划表!Q135-人员资源情况!A$2,0)))*R135*S135</f>
        <v/>
      </c>
      <c r="W135" s="0">
        <f>IF(V135&lt;0,0,V135)</f>
        <v/>
      </c>
    </row>
    <row r="136">
      <c r="B136" s="0" t="inlineStr">
        <is>
          <t>已删除</t>
        </is>
      </c>
      <c r="E136" s="0" t="inlineStr">
        <is>
          <t>亚洲</t>
        </is>
      </c>
      <c r="F136" s="0" t="inlineStr">
        <is>
          <t>巴勒斯坦超声户表二开</t>
        </is>
      </c>
      <c r="G136" s="0" t="inlineStr">
        <is>
          <t>2026-07-09</t>
        </is>
      </c>
      <c r="H136" s="0" t="inlineStr">
        <is>
          <t>2026-08-15</t>
        </is>
      </c>
      <c r="I136" s="0" t="inlineStr">
        <is>
          <t>TR3</t>
        </is>
      </c>
      <c r="J136" s="0" t="inlineStr">
        <is>
          <t>巴勒斯坦二开SE文档评审</t>
        </is>
      </c>
      <c r="K136" s="0" t="inlineStr">
        <is>
          <t>@毛文豪(80018842)</t>
        </is>
      </c>
      <c r="L136" s="0" t="inlineStr">
        <is>
          <t>2026-07-21</t>
        </is>
      </c>
      <c r="M136" s="0" t="inlineStr">
        <is>
          <t>2026-07-23</t>
        </is>
      </c>
      <c r="N136" s="0" t="n">
        <v>8</v>
      </c>
      <c r="O136" s="0">
        <f>任务计划表!K136</f>
        <v/>
      </c>
      <c r="P136" s="0">
        <f>IF(IF(任务计划表!L136="/",人员资源情况!$A$2,L136)&gt;M136,M136,(IF(任务计划表!L136="/",人员资源情况!$A$2,L136)))</f>
        <v/>
      </c>
      <c r="Q136" s="0">
        <f>IF(M136="/",人员资源情况!$B$2,任务计划表!M136)</f>
        <v/>
      </c>
      <c r="R136" s="0">
        <f>任务计划表!N136</f>
        <v/>
      </c>
      <c r="S136" s="0">
        <f>IF(O136=人员资源情况!C$2,1,0)</f>
        <v/>
      </c>
      <c r="T136" s="0">
        <f>IF(P136&gt;=人员资源情况!A$2,1,0)</f>
        <v/>
      </c>
      <c r="U136" s="0">
        <f>IF(Q136&lt;=人员资源情况!B$2,1,0)</f>
        <v/>
      </c>
      <c r="V136" s="0">
        <f>IF(T136*U136,Q136-P136,IF(T136&gt;U136,人员资源情况!B$2-P136,IF(T136&lt;U136,任务计划表!Q136-人员资源情况!A$2,0)))*R136*S136</f>
        <v/>
      </c>
      <c r="W136" s="0">
        <f>IF(V136&lt;0,0,V136)</f>
        <v/>
      </c>
    </row>
    <row r="137">
      <c r="B137" s="0" t="inlineStr">
        <is>
          <t>已删除</t>
        </is>
      </c>
      <c r="E137" s="0" t="inlineStr">
        <is>
          <t>亚洲</t>
        </is>
      </c>
      <c r="F137" s="0" t="inlineStr">
        <is>
          <t>巴勒斯坦超声户表二开</t>
        </is>
      </c>
      <c r="G137" s="0" t="inlineStr">
        <is>
          <t>2026-07-09</t>
        </is>
      </c>
      <c r="H137" s="0" t="inlineStr">
        <is>
          <t>2026-08-15</t>
        </is>
      </c>
      <c r="I137" s="0" t="inlineStr">
        <is>
          <t>TR4</t>
        </is>
      </c>
      <c r="J137" s="0" t="inlineStr">
        <is>
          <t>水表固件代码编写</t>
        </is>
      </c>
      <c r="K137" s="0" t="inlineStr">
        <is>
          <t>@毛文豪(80018842)</t>
        </is>
      </c>
      <c r="L137" s="0" t="inlineStr">
        <is>
          <t>2026-07-23</t>
        </is>
      </c>
      <c r="M137" s="0" t="inlineStr">
        <is>
          <t>2026-07-25</t>
        </is>
      </c>
      <c r="N137" s="0" t="n">
        <v>6</v>
      </c>
      <c r="O137" s="0">
        <f>任务计划表!K137</f>
        <v/>
      </c>
      <c r="P137" s="0">
        <f>IF(IF(任务计划表!L137="/",人员资源情况!$A$2,L137)&gt;M137,M137,(IF(任务计划表!L137="/",人员资源情况!$A$2,L137)))</f>
        <v/>
      </c>
      <c r="Q137" s="0">
        <f>IF(M137="/",人员资源情况!$B$2,任务计划表!M137)</f>
        <v/>
      </c>
      <c r="R137" s="0">
        <f>任务计划表!N137</f>
        <v/>
      </c>
      <c r="S137" s="0">
        <f>IF(O137=人员资源情况!C$2,1,0)</f>
        <v/>
      </c>
      <c r="T137" s="0">
        <f>IF(P137&gt;=人员资源情况!A$2,1,0)</f>
        <v/>
      </c>
      <c r="U137" s="0">
        <f>IF(Q137&lt;=人员资源情况!B$2,1,0)</f>
        <v/>
      </c>
      <c r="V137" s="0">
        <f>IF(T137*U137,Q137-P137,IF(T137&gt;U137,人员资源情况!B$2-P137,IF(T137&lt;U137,任务计划表!Q137-人员资源情况!A$2,0)))*R137*S137</f>
        <v/>
      </c>
      <c r="W137" s="0">
        <f>IF(V137&lt;0,0,V137)</f>
        <v/>
      </c>
    </row>
    <row r="138">
      <c r="B138" s="0" t="inlineStr">
        <is>
          <t>已删除</t>
        </is>
      </c>
      <c r="E138" s="0" t="inlineStr">
        <is>
          <t>亚洲</t>
        </is>
      </c>
      <c r="F138" s="0" t="inlineStr">
        <is>
          <t>巴勒斯坦超声户表二开</t>
        </is>
      </c>
      <c r="G138" s="0" t="inlineStr">
        <is>
          <t>2026-07-09</t>
        </is>
      </c>
      <c r="H138" s="0" t="inlineStr">
        <is>
          <t>2026-08-15</t>
        </is>
      </c>
      <c r="I138" s="0" t="inlineStr">
        <is>
          <t>TR4</t>
        </is>
      </c>
      <c r="J138" s="0" t="inlineStr">
        <is>
          <t>水表固件自测</t>
        </is>
      </c>
      <c r="K138" s="0" t="inlineStr">
        <is>
          <t>@毛文豪(80018842)</t>
        </is>
      </c>
      <c r="L138" s="0" t="inlineStr">
        <is>
          <t>2026-07-27</t>
        </is>
      </c>
      <c r="M138" s="0" t="inlineStr">
        <is>
          <t>2026-07-29</t>
        </is>
      </c>
      <c r="N138" s="0" t="n">
        <v>6</v>
      </c>
      <c r="O138" s="0">
        <f>任务计划表!K138</f>
        <v/>
      </c>
      <c r="P138" s="0">
        <f>IF(IF(任务计划表!L138="/",人员资源情况!$A$2,L138)&gt;M138,M138,(IF(任务计划表!L138="/",人员资源情况!$A$2,L138)))</f>
        <v/>
      </c>
      <c r="Q138" s="0">
        <f>IF(M138="/",人员资源情况!$B$2,任务计划表!M138)</f>
        <v/>
      </c>
      <c r="R138" s="0">
        <f>任务计划表!N138</f>
        <v/>
      </c>
      <c r="S138" s="0">
        <f>IF(O138=人员资源情况!C$2,1,0)</f>
        <v/>
      </c>
      <c r="T138" s="0">
        <f>IF(P138&gt;=人员资源情况!A$2,1,0)</f>
        <v/>
      </c>
      <c r="U138" s="0">
        <f>IF(Q138&lt;=人员资源情况!B$2,1,0)</f>
        <v/>
      </c>
      <c r="V138" s="0">
        <f>IF(T138*U138,Q138-P138,IF(T138&gt;U138,人员资源情况!B$2-P138,IF(T138&lt;U138,任务计划表!Q138-人员资源情况!A$2,0)))*R138*S138</f>
        <v/>
      </c>
      <c r="W138" s="0">
        <f>IF(V138&lt;0,0,V138)</f>
        <v/>
      </c>
    </row>
    <row r="139">
      <c r="B139" s="0" t="inlineStr">
        <is>
          <t>已删除</t>
        </is>
      </c>
      <c r="E139" s="0" t="inlineStr">
        <is>
          <t>亚洲</t>
        </is>
      </c>
      <c r="F139" s="0" t="inlineStr">
        <is>
          <t>巴勒斯坦超声户表二开</t>
        </is>
      </c>
      <c r="G139" s="0" t="inlineStr">
        <is>
          <t>2026-07-09</t>
        </is>
      </c>
      <c r="H139" s="0" t="inlineStr">
        <is>
          <t>2026-08-15</t>
        </is>
      </c>
      <c r="I139" s="0" t="inlineStr">
        <is>
          <t>TR4</t>
        </is>
      </c>
      <c r="J139" s="0" t="inlineStr">
        <is>
          <t>CIU固件代码编写</t>
        </is>
      </c>
      <c r="K139" s="0" t="inlineStr">
        <is>
          <t>@毛文豪(80018842)</t>
        </is>
      </c>
      <c r="L139" s="0" t="inlineStr">
        <is>
          <t>2026-07-29</t>
        </is>
      </c>
      <c r="M139" s="0" t="inlineStr">
        <is>
          <t>2026-07-30</t>
        </is>
      </c>
      <c r="N139" s="0" t="n">
        <v>6</v>
      </c>
      <c r="O139" s="0">
        <f>任务计划表!K139</f>
        <v/>
      </c>
      <c r="P139" s="0">
        <f>IF(IF(任务计划表!L139="/",人员资源情况!$A$2,L139)&gt;M139,M139,(IF(任务计划表!L139="/",人员资源情况!$A$2,L139)))</f>
        <v/>
      </c>
      <c r="Q139" s="0">
        <f>IF(M139="/",人员资源情况!$B$2,任务计划表!M139)</f>
        <v/>
      </c>
      <c r="R139" s="0">
        <f>任务计划表!N139</f>
        <v/>
      </c>
      <c r="S139" s="0">
        <f>IF(O139=人员资源情况!C$2,1,0)</f>
        <v/>
      </c>
      <c r="T139" s="0">
        <f>IF(P139&gt;=人员资源情况!A$2,1,0)</f>
        <v/>
      </c>
      <c r="U139" s="0">
        <f>IF(Q139&lt;=人员资源情况!B$2,1,0)</f>
        <v/>
      </c>
      <c r="V139" s="0">
        <f>IF(T139*U139,Q139-P139,IF(T139&gt;U139,人员资源情况!B$2-P139,IF(T139&lt;U139,任务计划表!Q139-人员资源情况!A$2,0)))*R139*S139</f>
        <v/>
      </c>
      <c r="W139" s="0">
        <f>IF(V139&lt;0,0,V139)</f>
        <v/>
      </c>
    </row>
    <row r="140">
      <c r="B140" s="0" t="inlineStr">
        <is>
          <t>已删除</t>
        </is>
      </c>
      <c r="E140" s="0" t="inlineStr">
        <is>
          <t>亚洲</t>
        </is>
      </c>
      <c r="F140" s="0" t="inlineStr">
        <is>
          <t>巴勒斯坦超声户表二开</t>
        </is>
      </c>
      <c r="G140" s="0" t="inlineStr">
        <is>
          <t>2026-07-09</t>
        </is>
      </c>
      <c r="H140" s="0" t="inlineStr">
        <is>
          <t>2026-08-15</t>
        </is>
      </c>
      <c r="I140" s="0" t="inlineStr">
        <is>
          <t>TR4A</t>
        </is>
      </c>
      <c r="J140" s="0" t="inlineStr">
        <is>
          <t>样机制作</t>
        </is>
      </c>
      <c r="K140" s="0" t="inlineStr">
        <is>
          <t>@文春英</t>
        </is>
      </c>
      <c r="L140" s="0" t="inlineStr">
        <is>
          <t>2026-07-30</t>
        </is>
      </c>
      <c r="M140" s="0" t="inlineStr">
        <is>
          <t>2026-08-03</t>
        </is>
      </c>
      <c r="N140" s="0" t="n">
        <v>2</v>
      </c>
      <c r="O140" s="0">
        <f>任务计划表!K140</f>
        <v/>
      </c>
      <c r="P140" s="0">
        <f>IF(IF(任务计划表!L140="/",人员资源情况!$A$2,L140)&gt;M140,M140,(IF(任务计划表!L140="/",人员资源情况!$A$2,L140)))</f>
        <v/>
      </c>
      <c r="Q140" s="0">
        <f>IF(M140="/",人员资源情况!$B$2,任务计划表!M140)</f>
        <v/>
      </c>
      <c r="R140" s="0">
        <f>任务计划表!N140</f>
        <v/>
      </c>
      <c r="S140" s="0">
        <f>IF(O140=人员资源情况!C$2,1,0)</f>
        <v/>
      </c>
      <c r="T140" s="0">
        <f>IF(P140&gt;=人员资源情况!A$2,1,0)</f>
        <v/>
      </c>
      <c r="U140" s="0">
        <f>IF(Q140&lt;=人员资源情况!B$2,1,0)</f>
        <v/>
      </c>
      <c r="V140" s="0">
        <f>IF(T140*U140,Q140-P140,IF(T140&gt;U140,人员资源情况!B$2-P140,IF(T140&lt;U140,任务计划表!Q140-人员资源情况!A$2,0)))*R140*S140</f>
        <v/>
      </c>
      <c r="W140" s="0">
        <f>IF(V140&lt;0,0,V140)</f>
        <v/>
      </c>
    </row>
    <row r="141">
      <c r="B141" s="0" t="inlineStr">
        <is>
          <t>已删除</t>
        </is>
      </c>
      <c r="E141" s="0" t="inlineStr">
        <is>
          <t>亚洲</t>
        </is>
      </c>
      <c r="F141" s="0" t="inlineStr">
        <is>
          <t>巴勒斯坦超声户表二开</t>
        </is>
      </c>
      <c r="G141" s="0" t="inlineStr">
        <is>
          <t>2026-07-09</t>
        </is>
      </c>
      <c r="H141" s="0" t="inlineStr">
        <is>
          <t>2026-08-15</t>
        </is>
      </c>
      <c r="I141" s="0" t="inlineStr">
        <is>
          <t>TR4</t>
        </is>
      </c>
      <c r="J141" s="0" t="inlineStr">
        <is>
          <t>测试用例评审</t>
        </is>
      </c>
      <c r="K141" s="0" t="inlineStr">
        <is>
          <t>@袁知正</t>
        </is>
      </c>
      <c r="L141" s="0" t="inlineStr">
        <is>
          <t>2026-07-23</t>
        </is>
      </c>
      <c r="M141" s="0" t="inlineStr">
        <is>
          <t>2026-07-29</t>
        </is>
      </c>
      <c r="N141" s="0" t="n">
        <v>2</v>
      </c>
      <c r="O141" s="0">
        <f>任务计划表!K141</f>
        <v/>
      </c>
      <c r="P141" s="0">
        <f>IF(IF(任务计划表!L141="/",人员资源情况!$A$2,L141)&gt;M141,M141,(IF(任务计划表!L141="/",人员资源情况!$A$2,L141)))</f>
        <v/>
      </c>
      <c r="Q141" s="0">
        <f>IF(M141="/",人员资源情况!$B$2,任务计划表!M141)</f>
        <v/>
      </c>
      <c r="R141" s="0">
        <f>任务计划表!N141</f>
        <v/>
      </c>
      <c r="S141" s="0">
        <f>IF(O141=人员资源情况!C$2,1,0)</f>
        <v/>
      </c>
      <c r="T141" s="0">
        <f>IF(P141&gt;=人员资源情况!A$2,1,0)</f>
        <v/>
      </c>
      <c r="U141" s="0">
        <f>IF(Q141&lt;=人员资源情况!B$2,1,0)</f>
        <v/>
      </c>
      <c r="V141" s="0">
        <f>IF(T141*U141,Q141-P141,IF(T141&gt;U141,人员资源情况!B$2-P141,IF(T141&lt;U141,任务计划表!Q141-人员资源情况!A$2,0)))*R141*S141</f>
        <v/>
      </c>
      <c r="W141" s="0">
        <f>IF(V141&lt;0,0,V141)</f>
        <v/>
      </c>
    </row>
    <row r="142">
      <c r="B142" s="0" t="inlineStr">
        <is>
          <t>已删除</t>
        </is>
      </c>
      <c r="E142" s="0" t="inlineStr">
        <is>
          <t>亚洲</t>
        </is>
      </c>
      <c r="F142" s="0" t="inlineStr">
        <is>
          <t>巴勒斯坦超声户表二开</t>
        </is>
      </c>
      <c r="G142" s="0" t="inlineStr">
        <is>
          <t>2026-07-09</t>
        </is>
      </c>
      <c r="H142" s="0" t="inlineStr">
        <is>
          <t>2026-08-15</t>
        </is>
      </c>
      <c r="I142" s="0" t="inlineStr">
        <is>
          <t>TR4A</t>
        </is>
      </c>
      <c r="J142" s="0" t="inlineStr">
        <is>
          <t>测试报告</t>
        </is>
      </c>
      <c r="K142" s="0" t="inlineStr">
        <is>
          <t>@袁知正</t>
        </is>
      </c>
      <c r="L142" s="0" t="inlineStr">
        <is>
          <t>2026-07-30</t>
        </is>
      </c>
      <c r="M142" s="0" t="inlineStr">
        <is>
          <t>2026-08-12</t>
        </is>
      </c>
      <c r="N142" s="0" t="n">
        <v>8</v>
      </c>
      <c r="O142" s="0">
        <f>任务计划表!K142</f>
        <v/>
      </c>
      <c r="P142" s="0">
        <f>IF(IF(任务计划表!L142="/",人员资源情况!$A$2,L142)&gt;M142,M142,(IF(任务计划表!L142="/",人员资源情况!$A$2,L142)))</f>
        <v/>
      </c>
      <c r="Q142" s="0">
        <f>IF(M142="/",人员资源情况!$B$2,任务计划表!M142)</f>
        <v/>
      </c>
      <c r="R142" s="0">
        <f>任务计划表!N142</f>
        <v/>
      </c>
      <c r="S142" s="0">
        <f>IF(O142=人员资源情况!C$2,1,0)</f>
        <v/>
      </c>
      <c r="T142" s="0">
        <f>IF(P142&gt;=人员资源情况!A$2,1,0)</f>
        <v/>
      </c>
      <c r="U142" s="0">
        <f>IF(Q142&lt;=人员资源情况!B$2,1,0)</f>
        <v/>
      </c>
      <c r="V142" s="0">
        <f>IF(T142*U142,Q142-P142,IF(T142&gt;U142,人员资源情况!B$2-P142,IF(T142&lt;U142,任务计划表!Q142-人员资源情况!A$2,0)))*R142*S142</f>
        <v/>
      </c>
      <c r="W142" s="0">
        <f>IF(V142&lt;0,0,V142)</f>
        <v/>
      </c>
    </row>
    <row r="143">
      <c r="B143" s="0" t="inlineStr">
        <is>
          <t>已删除</t>
        </is>
      </c>
      <c r="E143" s="0" t="inlineStr">
        <is>
          <t>亚洲</t>
        </is>
      </c>
      <c r="F143" s="0" t="inlineStr">
        <is>
          <t>巴勒斯坦超声户表二开</t>
        </is>
      </c>
      <c r="G143" s="0" t="inlineStr">
        <is>
          <t>2026-07-09</t>
        </is>
      </c>
      <c r="H143" s="0" t="inlineStr">
        <is>
          <t>2026-08-15</t>
        </is>
      </c>
      <c r="I143" s="0" t="inlineStr">
        <is>
          <t>TR4A</t>
        </is>
      </c>
      <c r="J143" s="0" t="inlineStr">
        <is>
          <t>测试报告评审</t>
        </is>
      </c>
      <c r="K143" s="0" t="inlineStr">
        <is>
          <t>@袁知正</t>
        </is>
      </c>
      <c r="L143" s="0" t="inlineStr">
        <is>
          <t>2026-08-12</t>
        </is>
      </c>
      <c r="M143" s="0" t="inlineStr">
        <is>
          <t>2026-08-13</t>
        </is>
      </c>
      <c r="N143" s="0" t="n">
        <v>1</v>
      </c>
      <c r="O143" s="0">
        <f>任务计划表!K143</f>
        <v/>
      </c>
      <c r="P143" s="0">
        <f>IF(IF(任务计划表!L143="/",人员资源情况!$A$2,L143)&gt;M143,M143,(IF(任务计划表!L143="/",人员资源情况!$A$2,L143)))</f>
        <v/>
      </c>
      <c r="Q143" s="0">
        <f>IF(M143="/",人员资源情况!$B$2,任务计划表!M143)</f>
        <v/>
      </c>
      <c r="R143" s="0">
        <f>任务计划表!N143</f>
        <v/>
      </c>
      <c r="S143" s="0">
        <f>IF(O143=人员资源情况!C$2,1,0)</f>
        <v/>
      </c>
      <c r="T143" s="0">
        <f>IF(P143&gt;=人员资源情况!A$2,1,0)</f>
        <v/>
      </c>
      <c r="U143" s="0">
        <f>IF(Q143&lt;=人员资源情况!B$2,1,0)</f>
        <v/>
      </c>
      <c r="V143" s="0">
        <f>IF(T143*U143,Q143-P143,IF(T143&gt;U143,人员资源情况!B$2-P143,IF(T143&lt;U143,任务计划表!Q143-人员资源情况!A$2,0)))*R143*S143</f>
        <v/>
      </c>
      <c r="W143" s="0">
        <f>IF(V143&lt;0,0,V143)</f>
        <v/>
      </c>
    </row>
    <row r="144">
      <c r="B144" s="0" t="inlineStr">
        <is>
          <t>已删除</t>
        </is>
      </c>
      <c r="E144" s="0" t="inlineStr">
        <is>
          <t>亚洲</t>
        </is>
      </c>
      <c r="F144" s="0" t="inlineStr">
        <is>
          <t>巴勒斯坦超声户表二开</t>
        </is>
      </c>
      <c r="G144" s="0" t="inlineStr">
        <is>
          <t>2026-07-09</t>
        </is>
      </c>
      <c r="H144" s="0" t="inlineStr">
        <is>
          <t>2026-08-15</t>
        </is>
      </c>
      <c r="I144" s="0" t="inlineStr">
        <is>
          <t>TR5</t>
        </is>
      </c>
      <c r="J144" s="0" t="inlineStr">
        <is>
          <t>生产工艺及规程制定</t>
        </is>
      </c>
      <c r="K144" s="0" t="inlineStr">
        <is>
          <t>@肖庆阳</t>
        </is>
      </c>
      <c r="L144" s="0" t="inlineStr">
        <is>
          <t>2026-08-13</t>
        </is>
      </c>
      <c r="M144" s="0" t="inlineStr">
        <is>
          <t>2026-08-14</t>
        </is>
      </c>
      <c r="N144" s="0" t="n">
        <v>8</v>
      </c>
      <c r="O144" s="0">
        <f>任务计划表!K144</f>
        <v/>
      </c>
      <c r="P144" s="0">
        <f>IF(IF(任务计划表!L144="/",人员资源情况!$A$2,L144)&gt;M144,M144,(IF(任务计划表!L144="/",人员资源情况!$A$2,L144)))</f>
        <v/>
      </c>
      <c r="Q144" s="0">
        <f>IF(M144="/",人员资源情况!$B$2,任务计划表!M144)</f>
        <v/>
      </c>
      <c r="R144" s="0">
        <f>任务计划表!N144</f>
        <v/>
      </c>
      <c r="S144" s="0">
        <f>IF(O144=人员资源情况!C$2,1,0)</f>
        <v/>
      </c>
      <c r="T144" s="0">
        <f>IF(P144&gt;=人员资源情况!A$2,1,0)</f>
        <v/>
      </c>
      <c r="U144" s="0">
        <f>IF(Q144&lt;=人员资源情况!B$2,1,0)</f>
        <v/>
      </c>
      <c r="V144" s="0">
        <f>IF(T144*U144,Q144-P144,IF(T144&gt;U144,人员资源情况!B$2-P144,IF(T144&lt;U144,任务计划表!Q144-人员资源情况!A$2,0)))*R144*S144</f>
        <v/>
      </c>
      <c r="W144" s="0">
        <f>IF(V144&lt;0,0,V144)</f>
        <v/>
      </c>
    </row>
    <row r="145">
      <c r="B145" s="0" t="inlineStr">
        <is>
          <t>已删除</t>
        </is>
      </c>
      <c r="E145" s="0" t="inlineStr">
        <is>
          <t>亚洲</t>
        </is>
      </c>
      <c r="F145" s="0" t="inlineStr">
        <is>
          <t>巴勒斯坦超声户表二开</t>
        </is>
      </c>
      <c r="G145" s="0" t="inlineStr">
        <is>
          <t>2026-07-09</t>
        </is>
      </c>
      <c r="H145" s="0" t="inlineStr">
        <is>
          <t>2026-08-15</t>
        </is>
      </c>
      <c r="I145" s="0" t="inlineStr">
        <is>
          <t>TR5</t>
        </is>
      </c>
      <c r="J145" s="0" t="inlineStr">
        <is>
          <t>产品参数配置表</t>
        </is>
      </c>
      <c r="K145" s="0" t="inlineStr">
        <is>
          <t>@毛文豪(80018842)</t>
        </is>
      </c>
      <c r="L145" s="0" t="inlineStr">
        <is>
          <t>2026-08-13</t>
        </is>
      </c>
      <c r="M145" s="0" t="inlineStr">
        <is>
          <t>2026-08-14</t>
        </is>
      </c>
      <c r="N145" s="0" t="n">
        <v>2</v>
      </c>
      <c r="O145" s="0">
        <f>任务计划表!K145</f>
        <v/>
      </c>
      <c r="P145" s="0">
        <f>IF(IF(任务计划表!L145="/",人员资源情况!$A$2,L145)&gt;M145,M145,(IF(任务计划表!L145="/",人员资源情况!$A$2,L145)))</f>
        <v/>
      </c>
      <c r="Q145" s="0">
        <f>IF(M145="/",人员资源情况!$B$2,任务计划表!M145)</f>
        <v/>
      </c>
      <c r="R145" s="0">
        <f>任务计划表!N145</f>
        <v/>
      </c>
      <c r="S145" s="0">
        <f>IF(O145=人员资源情况!C$2,1,0)</f>
        <v/>
      </c>
      <c r="T145" s="0">
        <f>IF(P145&gt;=人员资源情况!A$2,1,0)</f>
        <v/>
      </c>
      <c r="U145" s="0">
        <f>IF(Q145&lt;=人员资源情况!B$2,1,0)</f>
        <v/>
      </c>
      <c r="V145" s="0">
        <f>IF(T145*U145,Q145-P145,IF(T145&gt;U145,人员资源情况!B$2-P145,IF(T145&lt;U145,任务计划表!Q145-人员资源情况!A$2,0)))*R145*S145</f>
        <v/>
      </c>
      <c r="W145" s="0">
        <f>IF(V145&lt;0,0,V145)</f>
        <v/>
      </c>
    </row>
    <row r="146">
      <c r="B146" s="0" t="inlineStr">
        <is>
          <t>已删除</t>
        </is>
      </c>
      <c r="E146" s="0" t="inlineStr">
        <is>
          <t>亚洲</t>
        </is>
      </c>
      <c r="F146" s="0" t="inlineStr">
        <is>
          <t>巴勒斯坦超声户表二开</t>
        </is>
      </c>
      <c r="G146" s="0" t="inlineStr">
        <is>
          <t>2026-07-09</t>
        </is>
      </c>
      <c r="H146" s="0" t="inlineStr">
        <is>
          <t>2026-08-15</t>
        </is>
      </c>
      <c r="I146" s="0" t="inlineStr">
        <is>
          <t>TR5</t>
        </is>
      </c>
      <c r="J146" s="0" t="inlineStr">
        <is>
          <t>生产资料归档</t>
        </is>
      </c>
      <c r="K146" s="0" t="inlineStr">
        <is>
          <t>@肖庆阳</t>
        </is>
      </c>
      <c r="L146" s="0" t="inlineStr">
        <is>
          <t>2026-08-14</t>
        </is>
      </c>
      <c r="M146" s="0" t="inlineStr">
        <is>
          <t>2026-08-15</t>
        </is>
      </c>
      <c r="N146" s="0" t="n">
        <v>8</v>
      </c>
      <c r="O146" s="0">
        <f>任务计划表!K146</f>
        <v/>
      </c>
      <c r="P146" s="0">
        <f>IF(IF(任务计划表!L146="/",人员资源情况!$A$2,L146)&gt;M146,M146,(IF(任务计划表!L146="/",人员资源情况!$A$2,L146)))</f>
        <v/>
      </c>
      <c r="Q146" s="0">
        <f>IF(M146="/",人员资源情况!$B$2,任务计划表!M146)</f>
        <v/>
      </c>
      <c r="R146" s="0">
        <f>任务计划表!N146</f>
        <v/>
      </c>
      <c r="S146" s="0">
        <f>IF(O146=人员资源情况!C$2,1,0)</f>
        <v/>
      </c>
      <c r="T146" s="0">
        <f>IF(P146&gt;=人员资源情况!A$2,1,0)</f>
        <v/>
      </c>
      <c r="U146" s="0">
        <f>IF(Q146&lt;=人员资源情况!B$2,1,0)</f>
        <v/>
      </c>
      <c r="V146" s="0">
        <f>IF(T146*U146,Q146-P146,IF(T146&gt;U146,人员资源情况!B$2-P146,IF(T146&lt;U146,任务计划表!Q146-人员资源情况!A$2,0)))*R146*S146</f>
        <v/>
      </c>
      <c r="W146" s="0">
        <f>IF(V146&lt;0,0,V146)</f>
        <v/>
      </c>
    </row>
    <row r="147">
      <c r="B147" s="0" t="inlineStr">
        <is>
          <t>已删除</t>
        </is>
      </c>
      <c r="E147" s="0" t="inlineStr">
        <is>
          <t>亚洲</t>
        </is>
      </c>
      <c r="F147" s="0" t="inlineStr">
        <is>
          <t>巴勒斯坦超声户表二开</t>
        </is>
      </c>
      <c r="G147" s="0" t="inlineStr">
        <is>
          <t>2026-07-09</t>
        </is>
      </c>
      <c r="H147" s="0" t="inlineStr">
        <is>
          <t>2026-08-15</t>
        </is>
      </c>
      <c r="I147" s="0" t="inlineStr">
        <is>
          <t>TR5</t>
        </is>
      </c>
      <c r="J147" s="0" t="inlineStr">
        <is>
          <t>项目结项评审</t>
        </is>
      </c>
      <c r="K147" s="0" t="inlineStr">
        <is>
          <t>@毛文豪(80018842)</t>
        </is>
      </c>
      <c r="L147" s="0" t="inlineStr">
        <is>
          <t>2026-08-14</t>
        </is>
      </c>
      <c r="M147" s="0" t="inlineStr">
        <is>
          <t>2026-08-15</t>
        </is>
      </c>
      <c r="N147" s="0" t="n">
        <v>1</v>
      </c>
      <c r="O147" s="0">
        <f>任务计划表!K147</f>
        <v/>
      </c>
      <c r="P147" s="0">
        <f>IF(IF(任务计划表!L147="/",人员资源情况!$A$2,L147)&gt;M147,M147,(IF(任务计划表!L147="/",人员资源情况!$A$2,L147)))</f>
        <v/>
      </c>
      <c r="Q147" s="0">
        <f>IF(M147="/",人员资源情况!$B$2,任务计划表!M147)</f>
        <v/>
      </c>
      <c r="R147" s="0">
        <f>任务计划表!N147</f>
        <v/>
      </c>
      <c r="S147" s="0">
        <f>IF(O147=人员资源情况!C$2,1,0)</f>
        <v/>
      </c>
      <c r="T147" s="0">
        <f>IF(P147&gt;=人员资源情况!A$2,1,0)</f>
        <v/>
      </c>
      <c r="U147" s="0">
        <f>IF(Q147&lt;=人员资源情况!B$2,1,0)</f>
        <v/>
      </c>
      <c r="V147" s="0">
        <f>IF(T147*U147,Q147-P147,IF(T147&gt;U147,人员资源情况!B$2-P147,IF(T147&lt;U147,任务计划表!Q147-人员资源情况!A$2,0)))*R147*S147</f>
        <v/>
      </c>
      <c r="W147" s="0">
        <f>IF(V147&lt;0,0,V147)</f>
        <v/>
      </c>
    </row>
    <row r="148">
      <c r="A148" s="0" t="inlineStr">
        <is>
          <t>已归档</t>
        </is>
      </c>
      <c r="E148" s="0" t="inlineStr">
        <is>
          <t>亚洲</t>
        </is>
      </c>
      <c r="F148" s="0" t="inlineStr">
        <is>
          <t>巴勒斯坦超声户表二开</t>
        </is>
      </c>
      <c r="G148" s="0" t="inlineStr">
        <is>
          <t>2026-07-09</t>
        </is>
      </c>
      <c r="H148" s="0" t="inlineStr">
        <is>
          <t>2026-08-15</t>
        </is>
      </c>
      <c r="I148" s="0" t="inlineStr">
        <is>
          <t>TR1</t>
        </is>
      </c>
      <c r="J148" s="0" t="inlineStr">
        <is>
          <t>需求导入</t>
        </is>
      </c>
      <c r="K148" s="0" t="inlineStr">
        <is>
          <t>@毛文豪(80018842)</t>
        </is>
      </c>
      <c r="L148" s="0" t="inlineStr">
        <is>
          <t>2026-07-09</t>
        </is>
      </c>
      <c r="M148" s="0" t="inlineStr">
        <is>
          <t>2026-07-10</t>
        </is>
      </c>
      <c r="N148" s="0" t="n">
        <v>0</v>
      </c>
      <c r="O148" s="0">
        <f>任务计划表!K148</f>
        <v/>
      </c>
      <c r="P148" s="0">
        <f>IF(IF(任务计划表!L148="/",人员资源情况!$A$2,L148)&gt;M148,M148,(IF(任务计划表!L148="/",人员资源情况!$A$2,L148)))</f>
        <v/>
      </c>
      <c r="Q148" s="0">
        <f>IF(M148="/",人员资源情况!$B$2,任务计划表!M148)</f>
        <v/>
      </c>
      <c r="R148" s="0">
        <f>任务计划表!N148</f>
        <v/>
      </c>
      <c r="S148" s="0">
        <f>IF(O148=人员资源情况!C$2,1,0)</f>
        <v/>
      </c>
      <c r="T148" s="0">
        <f>IF(P148&gt;=人员资源情况!A$2,1,0)</f>
        <v/>
      </c>
      <c r="U148" s="0">
        <f>IF(Q148&lt;=人员资源情况!B$2,1,0)</f>
        <v/>
      </c>
      <c r="V148" s="0">
        <f>IF(T148*U148,Q148-P148,IF(T148&gt;U148,人员资源情况!B$2-P148,IF(T148&lt;U148,任务计划表!Q148-人员资源情况!A$2,0)))*R148*S148</f>
        <v/>
      </c>
      <c r="W148" s="0">
        <f>IF(V148&lt;0,0,V148)</f>
        <v/>
      </c>
    </row>
    <row r="149">
      <c r="A149" s="0" t="inlineStr">
        <is>
          <t>已归档</t>
        </is>
      </c>
      <c r="E149" s="0" t="inlineStr">
        <is>
          <t>亚洲</t>
        </is>
      </c>
      <c r="F149" s="0" t="inlineStr">
        <is>
          <t>巴勒斯坦超声户表二开</t>
        </is>
      </c>
      <c r="G149" s="0" t="inlineStr">
        <is>
          <t>2026-07-09</t>
        </is>
      </c>
      <c r="H149" s="0" t="inlineStr">
        <is>
          <t>2026-08-15</t>
        </is>
      </c>
      <c r="I149" s="0" t="inlineStr">
        <is>
          <t>TR1</t>
        </is>
      </c>
      <c r="J149" s="0" t="inlineStr">
        <is>
          <t>需求评审</t>
        </is>
      </c>
      <c r="K149" s="0" t="inlineStr">
        <is>
          <t>@毛文豪(80018842)</t>
        </is>
      </c>
      <c r="L149" s="0" t="inlineStr">
        <is>
          <t>2026-07-09</t>
        </is>
      </c>
      <c r="M149" s="0" t="inlineStr">
        <is>
          <t>2026-07-10</t>
        </is>
      </c>
      <c r="N149" s="0" t="n">
        <v>0</v>
      </c>
      <c r="O149" s="0">
        <f>任务计划表!K149</f>
        <v/>
      </c>
      <c r="P149" s="0">
        <f>IF(IF(任务计划表!L149="/",人员资源情况!$A$2,L149)&gt;M149,M149,(IF(任务计划表!L149="/",人员资源情况!$A$2,L149)))</f>
        <v/>
      </c>
      <c r="Q149" s="0">
        <f>IF(M149="/",人员资源情况!$B$2,任务计划表!M149)</f>
        <v/>
      </c>
      <c r="R149" s="0">
        <f>任务计划表!N149</f>
        <v/>
      </c>
      <c r="S149" s="0">
        <f>IF(O149=人员资源情况!C$2,1,0)</f>
        <v/>
      </c>
      <c r="T149" s="0">
        <f>IF(P149&gt;=人员资源情况!A$2,1,0)</f>
        <v/>
      </c>
      <c r="U149" s="0">
        <f>IF(Q149&lt;=人员资源情况!B$2,1,0)</f>
        <v/>
      </c>
      <c r="V149" s="0">
        <f>IF(T149*U149,Q149-P149,IF(T149&gt;U149,人员资源情况!B$2-P149,IF(T149&lt;U149,任务计划表!Q149-人员资源情况!A$2,0)))*R149*S149</f>
        <v/>
      </c>
      <c r="W149" s="0">
        <f>IF(V149&lt;0,0,V149)</f>
        <v/>
      </c>
    </row>
    <row r="150">
      <c r="A150" s="0" t="inlineStr">
        <is>
          <t>已归档</t>
        </is>
      </c>
      <c r="E150" s="0" t="inlineStr">
        <is>
          <t>亚洲</t>
        </is>
      </c>
      <c r="F150" s="0" t="inlineStr">
        <is>
          <t>巴勒斯坦超声户表二开</t>
        </is>
      </c>
      <c r="G150" s="0" t="inlineStr">
        <is>
          <t>2026-07-09</t>
        </is>
      </c>
      <c r="H150" s="0" t="inlineStr">
        <is>
          <t>2026-08-15</t>
        </is>
      </c>
      <c r="I150" s="0" t="inlineStr">
        <is>
          <t>TR3</t>
        </is>
      </c>
      <c r="J150" s="0" t="inlineStr">
        <is>
          <t>巴勒斯坦二开SE文档评审</t>
        </is>
      </c>
      <c r="K150" s="0" t="inlineStr">
        <is>
          <t>@毛文豪(80018842)</t>
        </is>
      </c>
      <c r="L150" s="0" t="inlineStr">
        <is>
          <t>2026-07-21</t>
        </is>
      </c>
      <c r="M150" s="0" t="inlineStr">
        <is>
          <t>2026-07-23</t>
        </is>
      </c>
      <c r="N150" s="0" t="n">
        <v>8</v>
      </c>
      <c r="O150" s="0">
        <f>任务计划表!K150</f>
        <v/>
      </c>
      <c r="P150" s="0">
        <f>IF(IF(任务计划表!L150="/",人员资源情况!$A$2,L150)&gt;M150,M150,(IF(任务计划表!L150="/",人员资源情况!$A$2,L150)))</f>
        <v/>
      </c>
      <c r="Q150" s="0">
        <f>IF(M150="/",人员资源情况!$B$2,任务计划表!M150)</f>
        <v/>
      </c>
      <c r="R150" s="0">
        <f>任务计划表!N150</f>
        <v/>
      </c>
      <c r="S150" s="0">
        <f>IF(O150=人员资源情况!C$2,1,0)</f>
        <v/>
      </c>
      <c r="T150" s="0">
        <f>IF(P150&gt;=人员资源情况!A$2,1,0)</f>
        <v/>
      </c>
      <c r="U150" s="0">
        <f>IF(Q150&lt;=人员资源情况!B$2,1,0)</f>
        <v/>
      </c>
      <c r="V150" s="0">
        <f>IF(T150*U150,Q150-P150,IF(T150&gt;U150,人员资源情况!B$2-P150,IF(T150&lt;U150,任务计划表!Q150-人员资源情况!A$2,0)))*R150*S150</f>
        <v/>
      </c>
      <c r="W150" s="0">
        <f>IF(V150&lt;0,0,V150)</f>
        <v/>
      </c>
      <c r="X150" s="0" t="inlineStr"/>
      <c r="Y150" s="0" t="inlineStr"/>
      <c r="Z150" s="0" t="inlineStr"/>
      <c r="AA150" s="0" t="inlineStr"/>
    </row>
    <row r="151">
      <c r="E151" s="0" t="inlineStr">
        <is>
          <t>亚洲</t>
        </is>
      </c>
      <c r="F151" s="0" t="inlineStr">
        <is>
          <t>巴勒斯坦超声户表二开</t>
        </is>
      </c>
      <c r="G151" s="0" t="inlineStr">
        <is>
          <t>2026-07-09</t>
        </is>
      </c>
      <c r="H151" s="0" t="inlineStr">
        <is>
          <t>2026-08-15</t>
        </is>
      </c>
      <c r="I151" s="0" t="inlineStr">
        <is>
          <t>TR4</t>
        </is>
      </c>
      <c r="J151" s="0" t="inlineStr">
        <is>
          <t>水表固件代码编写</t>
        </is>
      </c>
      <c r="K151" s="0" t="inlineStr">
        <is>
          <t>@毛文豪(80018842)</t>
        </is>
      </c>
      <c r="L151" s="0" t="inlineStr">
        <is>
          <t>2026-07-23</t>
        </is>
      </c>
      <c r="M151" s="0" t="inlineStr">
        <is>
          <t>2026-07-25</t>
        </is>
      </c>
      <c r="N151" s="0" t="n">
        <v>6</v>
      </c>
      <c r="O151" s="0">
        <f>任务计划表!K151</f>
        <v/>
      </c>
      <c r="P151" s="0">
        <f>IF(IF(任务计划表!L151="/",人员资源情况!$A$2,L151)&gt;M151,M151,(IF(任务计划表!L151="/",人员资源情况!$A$2,L151)))</f>
        <v/>
      </c>
      <c r="Q151" s="0">
        <f>IF(M151="/",人员资源情况!$B$2,任务计划表!M151)</f>
        <v/>
      </c>
      <c r="R151" s="0">
        <f>任务计划表!N151</f>
        <v/>
      </c>
      <c r="S151" s="0">
        <f>IF(O151=人员资源情况!C$2,1,0)</f>
        <v/>
      </c>
      <c r="T151" s="0">
        <f>IF(P151&gt;=人员资源情况!A$2,1,0)</f>
        <v/>
      </c>
      <c r="U151" s="0">
        <f>IF(Q151&lt;=人员资源情况!B$2,1,0)</f>
        <v/>
      </c>
      <c r="V151" s="0">
        <f>IF(T151*U151,Q151-P151,IF(T151&gt;U151,人员资源情况!B$2-P151,IF(T151&lt;U151,任务计划表!Q151-人员资源情况!A$2,0)))*R151*S151</f>
        <v/>
      </c>
      <c r="W151" s="0">
        <f>IF(V151&lt;0,0,V151)</f>
        <v/>
      </c>
    </row>
    <row r="152">
      <c r="E152" s="0" t="inlineStr">
        <is>
          <t>亚洲</t>
        </is>
      </c>
      <c r="F152" s="0" t="inlineStr">
        <is>
          <t>巴勒斯坦超声户表二开</t>
        </is>
      </c>
      <c r="G152" s="0" t="inlineStr">
        <is>
          <t>2026-07-09</t>
        </is>
      </c>
      <c r="H152" s="0" t="inlineStr">
        <is>
          <t>2026-08-15</t>
        </is>
      </c>
      <c r="I152" s="0" t="inlineStr">
        <is>
          <t>TR4</t>
        </is>
      </c>
      <c r="J152" s="0" t="inlineStr">
        <is>
          <t>水表固件自测</t>
        </is>
      </c>
      <c r="K152" s="0" t="inlineStr">
        <is>
          <t>@毛文豪(80018842)</t>
        </is>
      </c>
      <c r="L152" s="0" t="inlineStr">
        <is>
          <t>2026-07-27</t>
        </is>
      </c>
      <c r="M152" s="0" t="inlineStr">
        <is>
          <t>2026-07-29</t>
        </is>
      </c>
      <c r="N152" s="0" t="n">
        <v>6</v>
      </c>
      <c r="O152" s="0">
        <f>任务计划表!K152</f>
        <v/>
      </c>
      <c r="P152" s="0">
        <f>IF(IF(任务计划表!L152="/",人员资源情况!$A$2,L152)&gt;M152,M152,(IF(任务计划表!L152="/",人员资源情况!$A$2,L152)))</f>
        <v/>
      </c>
      <c r="Q152" s="0">
        <f>IF(M152="/",人员资源情况!$B$2,任务计划表!M152)</f>
        <v/>
      </c>
      <c r="R152" s="0">
        <f>任务计划表!N152</f>
        <v/>
      </c>
      <c r="S152" s="0">
        <f>IF(O152=人员资源情况!C$2,1,0)</f>
        <v/>
      </c>
      <c r="T152" s="0">
        <f>IF(P152&gt;=人员资源情况!A$2,1,0)</f>
        <v/>
      </c>
      <c r="U152" s="0">
        <f>IF(Q152&lt;=人员资源情况!B$2,1,0)</f>
        <v/>
      </c>
      <c r="V152" s="0">
        <f>IF(T152*U152,Q152-P152,IF(T152&gt;U152,人员资源情况!B$2-P152,IF(T152&lt;U152,任务计划表!Q152-人员资源情况!A$2,0)))*R152*S152</f>
        <v/>
      </c>
      <c r="W152" s="0">
        <f>IF(V152&lt;0,0,V152)</f>
        <v/>
      </c>
    </row>
    <row r="153">
      <c r="E153" s="0" t="inlineStr">
        <is>
          <t>亚洲</t>
        </is>
      </c>
      <c r="F153" s="0" t="inlineStr">
        <is>
          <t>巴勒斯坦超声户表二开</t>
        </is>
      </c>
      <c r="G153" s="0" t="inlineStr">
        <is>
          <t>2026-07-09</t>
        </is>
      </c>
      <c r="H153" s="0" t="inlineStr">
        <is>
          <t>2026-08-15</t>
        </is>
      </c>
      <c r="I153" s="0" t="inlineStr">
        <is>
          <t>TR4</t>
        </is>
      </c>
      <c r="J153" s="0" t="inlineStr">
        <is>
          <t>CIU固件代码编写</t>
        </is>
      </c>
      <c r="K153" s="0" t="inlineStr">
        <is>
          <t>毛文豪</t>
        </is>
      </c>
      <c r="L153" s="0" t="inlineStr">
        <is>
          <t>2026-07-30</t>
        </is>
      </c>
      <c r="M153" s="0" t="inlineStr">
        <is>
          <t>2026-07-31</t>
        </is>
      </c>
      <c r="N153" s="0" t="n">
        <v>6</v>
      </c>
      <c r="O153" s="0">
        <f>任务计划表!K153</f>
        <v/>
      </c>
      <c r="P153" s="0">
        <f>IF(IF(任务计划表!L153="/",人员资源情况!$A$2,L153)&gt;M153,M153,(IF(任务计划表!L153="/",人员资源情况!$A$2,L153)))</f>
        <v/>
      </c>
      <c r="Q153" s="0">
        <f>IF(M153="/",人员资源情况!$B$2,任务计划表!M153)</f>
        <v/>
      </c>
      <c r="R153" s="0">
        <f>任务计划表!N153</f>
        <v/>
      </c>
      <c r="S153" s="0">
        <f>IF(O153=人员资源情况!C$2,1,0)</f>
        <v/>
      </c>
      <c r="T153" s="0">
        <f>IF(P153&gt;=人员资源情况!A$2,1,0)</f>
        <v/>
      </c>
      <c r="U153" s="0">
        <f>IF(Q153&lt;=人员资源情况!B$2,1,0)</f>
        <v/>
      </c>
      <c r="V153" s="0">
        <f>IF(T153*U153,Q153-P153,IF(T153&gt;U153,人员资源情况!B$2-P153,IF(T153&lt;U153,任务计划表!Q153-人员资源情况!A$2,0)))*R153*S153</f>
        <v/>
      </c>
      <c r="W153" s="0">
        <f>IF(V153&lt;0,0,V153)</f>
        <v/>
      </c>
    </row>
    <row r="154">
      <c r="E154" s="0" t="inlineStr">
        <is>
          <t>亚洲</t>
        </is>
      </c>
      <c r="F154" s="0" t="inlineStr">
        <is>
          <t>巴勒斯坦超声户表二开</t>
        </is>
      </c>
      <c r="G154" s="0" t="inlineStr">
        <is>
          <t>2026-07-09</t>
        </is>
      </c>
      <c r="H154" s="0" t="inlineStr">
        <is>
          <t>2026-08-15</t>
        </is>
      </c>
      <c r="I154" s="0" t="inlineStr">
        <is>
          <t>TR4A</t>
        </is>
      </c>
      <c r="J154" s="0" t="inlineStr">
        <is>
          <t>样机制作</t>
        </is>
      </c>
      <c r="K154" s="0" t="inlineStr">
        <is>
          <t>文春英</t>
        </is>
      </c>
      <c r="L154" s="0" t="inlineStr">
        <is>
          <t>2026-07-28</t>
        </is>
      </c>
      <c r="M154" s="0" t="inlineStr">
        <is>
          <t>2026-07-31</t>
        </is>
      </c>
      <c r="N154" s="0" t="n">
        <v>2</v>
      </c>
      <c r="O154" s="0">
        <f>任务计划表!K154</f>
        <v/>
      </c>
      <c r="P154" s="0">
        <f>IF(IF(任务计划表!L154="/",人员资源情况!$A$2,L154)&gt;M154,M154,(IF(任务计划表!L154="/",人员资源情况!$A$2,L154)))</f>
        <v/>
      </c>
      <c r="Q154" s="0">
        <f>IF(M154="/",人员资源情况!$B$2,任务计划表!M154)</f>
        <v/>
      </c>
      <c r="R154" s="0">
        <f>任务计划表!N154</f>
        <v/>
      </c>
      <c r="S154" s="0">
        <f>IF(O154=人员资源情况!C$2,1,0)</f>
        <v/>
      </c>
      <c r="T154" s="0">
        <f>IF(P154&gt;=人员资源情况!A$2,1,0)</f>
        <v/>
      </c>
      <c r="U154" s="0">
        <f>IF(Q154&lt;=人员资源情况!B$2,1,0)</f>
        <v/>
      </c>
      <c r="V154" s="0">
        <f>IF(T154*U154,Q154-P154,IF(T154&gt;U154,人员资源情况!B$2-P154,IF(T154&lt;U154,任务计划表!Q154-人员资源情况!A$2,0)))*R154*S154</f>
        <v/>
      </c>
      <c r="W154" s="0">
        <f>IF(V154&lt;0,0,V154)</f>
        <v/>
      </c>
      <c r="X154" s="0" t="inlineStr"/>
      <c r="Y154" s="0" t="inlineStr"/>
      <c r="Z154" s="0" t="inlineStr"/>
      <c r="AA154" s="0" t="inlineStr"/>
    </row>
    <row r="155">
      <c r="E155" s="0" t="inlineStr">
        <is>
          <t>亚洲</t>
        </is>
      </c>
      <c r="F155" s="0" t="inlineStr">
        <is>
          <t>巴勒斯坦超声户表二开</t>
        </is>
      </c>
      <c r="G155" s="0" t="inlineStr">
        <is>
          <t>2026-07-09</t>
        </is>
      </c>
      <c r="H155" s="0" t="inlineStr">
        <is>
          <t>2026-08-15</t>
        </is>
      </c>
      <c r="I155" s="0" t="inlineStr">
        <is>
          <t>TR4</t>
        </is>
      </c>
      <c r="J155" s="0" t="inlineStr">
        <is>
          <t>测试用例评审</t>
        </is>
      </c>
      <c r="K155" s="0" t="inlineStr">
        <is>
          <t>@袁知正</t>
        </is>
      </c>
      <c r="L155" s="0" t="inlineStr">
        <is>
          <t>2026-07-23</t>
        </is>
      </c>
      <c r="M155" s="0" t="inlineStr">
        <is>
          <t>2026-07-29</t>
        </is>
      </c>
      <c r="N155" s="0" t="n">
        <v>2</v>
      </c>
      <c r="O155" s="0">
        <f>任务计划表!K155</f>
        <v/>
      </c>
      <c r="P155" s="0">
        <f>IF(IF(任务计划表!L155="/",人员资源情况!$A$2,L155)&gt;M155,M155,(IF(任务计划表!L155="/",人员资源情况!$A$2,L155)))</f>
        <v/>
      </c>
      <c r="Q155" s="0">
        <f>IF(M155="/",人员资源情况!$B$2,任务计划表!M155)</f>
        <v/>
      </c>
      <c r="R155" s="0">
        <f>任务计划表!N155</f>
        <v/>
      </c>
      <c r="S155" s="0">
        <f>IF(O155=人员资源情况!C$2,1,0)</f>
        <v/>
      </c>
      <c r="T155" s="0">
        <f>IF(P155&gt;=人员资源情况!A$2,1,0)</f>
        <v/>
      </c>
      <c r="U155" s="0">
        <f>IF(Q155&lt;=人员资源情况!B$2,1,0)</f>
        <v/>
      </c>
      <c r="V155" s="0">
        <f>IF(T155*U155,Q155-P155,IF(T155&gt;U155,人员资源情况!B$2-P155,IF(T155&lt;U155,任务计划表!Q155-人员资源情况!A$2,0)))*R155*S155</f>
        <v/>
      </c>
      <c r="W155" s="0">
        <f>IF(V155&lt;0,0,V155)</f>
        <v/>
      </c>
      <c r="X155" s="0" t="inlineStr"/>
      <c r="Y155" s="0" t="inlineStr"/>
      <c r="Z155" s="0" t="inlineStr"/>
      <c r="AA155" s="0" t="inlineStr"/>
    </row>
    <row r="156">
      <c r="E156" s="0" t="inlineStr">
        <is>
          <t>亚洲</t>
        </is>
      </c>
      <c r="F156" s="0" t="inlineStr">
        <is>
          <t>巴勒斯坦超声户表二开</t>
        </is>
      </c>
      <c r="G156" s="0" t="inlineStr">
        <is>
          <t>2026-07-09</t>
        </is>
      </c>
      <c r="H156" s="0" t="inlineStr">
        <is>
          <t>2026-08-15</t>
        </is>
      </c>
      <c r="I156" s="0" t="inlineStr">
        <is>
          <t>TR4A</t>
        </is>
      </c>
      <c r="J156" s="0" t="inlineStr">
        <is>
          <t>第一轮测试</t>
        </is>
      </c>
      <c r="K156" s="0" t="inlineStr">
        <is>
          <t>袁知正</t>
        </is>
      </c>
      <c r="L156" s="0" t="inlineStr">
        <is>
          <t>2026-07-30</t>
        </is>
      </c>
      <c r="M156" s="0" t="inlineStr">
        <is>
          <t>2026-08-05</t>
        </is>
      </c>
      <c r="N156" s="0" t="n">
        <v>8</v>
      </c>
      <c r="O156" s="0">
        <f>任务计划表!K156</f>
        <v/>
      </c>
      <c r="P156" s="0">
        <f>IF(IF(任务计划表!L156="/",人员资源情况!$A$2,L156)&gt;M156,M156,(IF(任务计划表!L156="/",人员资源情况!$A$2,L156)))</f>
        <v/>
      </c>
      <c r="Q156" s="0">
        <f>IF(M156="/",人员资源情况!$B$2,任务计划表!M156)</f>
        <v/>
      </c>
      <c r="R156" s="0">
        <f>任务计划表!N156</f>
        <v/>
      </c>
      <c r="S156" s="0">
        <f>IF(O156=人员资源情况!C$2,1,0)</f>
        <v/>
      </c>
      <c r="T156" s="0">
        <f>IF(P156&gt;=人员资源情况!A$2,1,0)</f>
        <v/>
      </c>
      <c r="U156" s="0">
        <f>IF(Q156&lt;=人员资源情况!B$2,1,0)</f>
        <v/>
      </c>
      <c r="V156" s="0">
        <f>IF(T156*U156,Q156-P156,IF(T156&gt;U156,人员资源情况!B$2-P156,IF(T156&lt;U156,任务计划表!Q156-人员资源情况!A$2,0)))*R156*S156</f>
        <v/>
      </c>
      <c r="W156" s="0">
        <f>IF(V156&lt;0,0,V156)</f>
        <v/>
      </c>
    </row>
    <row r="157">
      <c r="E157" s="0" t="inlineStr">
        <is>
          <t>亚洲</t>
        </is>
      </c>
      <c r="F157" s="0" t="inlineStr">
        <is>
          <t>巴勒斯坦超声户表二开</t>
        </is>
      </c>
      <c r="G157" s="0" t="inlineStr">
        <is>
          <t>2026-07-09</t>
        </is>
      </c>
      <c r="H157" s="0" t="inlineStr">
        <is>
          <t>2026-08-15</t>
        </is>
      </c>
      <c r="I157" s="0" t="inlineStr">
        <is>
          <t>TR4A</t>
        </is>
      </c>
      <c r="J157" s="0" t="inlineStr">
        <is>
          <t>测试报告评审</t>
        </is>
      </c>
      <c r="K157" s="0" t="inlineStr">
        <is>
          <t>袁知正</t>
        </is>
      </c>
      <c r="L157" s="0" t="inlineStr">
        <is>
          <t>2026-08-14</t>
        </is>
      </c>
      <c r="M157" s="0" t="inlineStr">
        <is>
          <t>2026-08-14</t>
        </is>
      </c>
      <c r="N157" s="0" t="n">
        <v>1</v>
      </c>
      <c r="O157" s="0">
        <f>任务计划表!K157</f>
        <v/>
      </c>
      <c r="P157" s="0">
        <f>IF(IF(任务计划表!L157="/",人员资源情况!$A$2,L157)&gt;M157,M157,(IF(任务计划表!L157="/",人员资源情况!$A$2,L157)))</f>
        <v/>
      </c>
      <c r="Q157" s="0">
        <f>IF(M157="/",人员资源情况!$B$2,任务计划表!M157)</f>
        <v/>
      </c>
      <c r="R157" s="0">
        <f>任务计划表!N157</f>
        <v/>
      </c>
      <c r="S157" s="0">
        <f>IF(O157=人员资源情况!C$2,1,0)</f>
        <v/>
      </c>
      <c r="T157" s="0">
        <f>IF(P157&gt;=人员资源情况!A$2,1,0)</f>
        <v/>
      </c>
      <c r="U157" s="0">
        <f>IF(Q157&lt;=人员资源情况!B$2,1,0)</f>
        <v/>
      </c>
      <c r="V157" s="0">
        <f>IF(T157*U157,Q157-P157,IF(T157&gt;U157,人员资源情况!B$2-P157,IF(T157&lt;U157,任务计划表!Q157-人员资源情况!A$2,0)))*R157*S157</f>
        <v/>
      </c>
      <c r="W157" s="0">
        <f>IF(V157&lt;0,0,V157)</f>
        <v/>
      </c>
      <c r="X157" s="0" t="inlineStr"/>
      <c r="Y157" s="0" t="inlineStr"/>
      <c r="Z157" s="0" t="inlineStr"/>
      <c r="AA157" s="0" t="inlineStr"/>
    </row>
    <row r="158">
      <c r="E158" s="0" t="inlineStr">
        <is>
          <t>亚洲</t>
        </is>
      </c>
      <c r="F158" s="0" t="inlineStr">
        <is>
          <t>巴勒斯坦超声户表二开</t>
        </is>
      </c>
      <c r="G158" s="0" t="inlineStr">
        <is>
          <t>2026-07-09</t>
        </is>
      </c>
      <c r="H158" s="0" t="inlineStr">
        <is>
          <t>2026-08-15</t>
        </is>
      </c>
      <c r="I158" s="0" t="inlineStr">
        <is>
          <t>TR5</t>
        </is>
      </c>
      <c r="J158" s="0" t="inlineStr">
        <is>
          <t>生产工艺及规程制定</t>
        </is>
      </c>
      <c r="K158" s="0" t="inlineStr">
        <is>
          <t>肖庆阳</t>
        </is>
      </c>
      <c r="L158" s="0" t="inlineStr">
        <is>
          <t>2026-08-15</t>
        </is>
      </c>
      <c r="M158" s="0" t="inlineStr">
        <is>
          <t>2026-08-17</t>
        </is>
      </c>
      <c r="N158" s="0" t="n">
        <v>8</v>
      </c>
      <c r="O158" s="0">
        <f>任务计划表!K158</f>
        <v/>
      </c>
      <c r="P158" s="0">
        <f>IF(IF(任务计划表!L158="/",人员资源情况!$A$2,L158)&gt;M158,M158,(IF(任务计划表!L158="/",人员资源情况!$A$2,L158)))</f>
        <v/>
      </c>
      <c r="Q158" s="0">
        <f>IF(M158="/",人员资源情况!$B$2,任务计划表!M158)</f>
        <v/>
      </c>
      <c r="R158" s="0">
        <f>任务计划表!N158</f>
        <v/>
      </c>
      <c r="S158" s="0">
        <f>IF(O158=人员资源情况!C$2,1,0)</f>
        <v/>
      </c>
      <c r="T158" s="0">
        <f>IF(P158&gt;=人员资源情况!A$2,1,0)</f>
        <v/>
      </c>
      <c r="U158" s="0">
        <f>IF(Q158&lt;=人员资源情况!B$2,1,0)</f>
        <v/>
      </c>
      <c r="V158" s="0">
        <f>IF(T158*U158,Q158-P158,IF(T158&gt;U158,人员资源情况!B$2-P158,IF(T158&lt;U158,任务计划表!Q158-人员资源情况!A$2,0)))*R158*S158</f>
        <v/>
      </c>
      <c r="W158" s="0">
        <f>IF(V158&lt;0,0,V158)</f>
        <v/>
      </c>
      <c r="X158" s="0" t="inlineStr"/>
      <c r="Y158" s="0" t="inlineStr"/>
      <c r="Z158" s="0" t="inlineStr"/>
      <c r="AA158" s="0" t="inlineStr"/>
    </row>
    <row r="159">
      <c r="E159" s="0" t="inlineStr">
        <is>
          <t>亚洲</t>
        </is>
      </c>
      <c r="F159" s="0" t="inlineStr">
        <is>
          <t>巴勒斯坦超声户表二开</t>
        </is>
      </c>
      <c r="G159" s="0" t="inlineStr">
        <is>
          <t>2026-07-09</t>
        </is>
      </c>
      <c r="H159" s="0" t="inlineStr">
        <is>
          <t>2026-08-15</t>
        </is>
      </c>
      <c r="I159" s="0" t="inlineStr">
        <is>
          <t>TR5</t>
        </is>
      </c>
      <c r="J159" s="0" t="inlineStr">
        <is>
          <t>产品参数配置表</t>
        </is>
      </c>
      <c r="K159" s="0" t="inlineStr">
        <is>
          <t>@毛文豪(80018842)</t>
        </is>
      </c>
      <c r="L159" s="0" t="inlineStr">
        <is>
          <t>2026-08-13</t>
        </is>
      </c>
      <c r="M159" s="0" t="inlineStr">
        <is>
          <t>2026-08-14</t>
        </is>
      </c>
      <c r="N159" s="0" t="n">
        <v>2</v>
      </c>
      <c r="O159" s="0">
        <f>任务计划表!K159</f>
        <v/>
      </c>
      <c r="P159" s="0">
        <f>IF(IF(任务计划表!L159="/",人员资源情况!$A$2,L159)&gt;M159,M159,(IF(任务计划表!L159="/",人员资源情况!$A$2,L159)))</f>
        <v/>
      </c>
      <c r="Q159" s="0">
        <f>IF(M159="/",人员资源情况!$B$2,任务计划表!M159)</f>
        <v/>
      </c>
      <c r="R159" s="0">
        <f>任务计划表!N159</f>
        <v/>
      </c>
      <c r="S159" s="0">
        <f>IF(O159=人员资源情况!C$2,1,0)</f>
        <v/>
      </c>
      <c r="T159" s="0">
        <f>IF(P159&gt;=人员资源情况!A$2,1,0)</f>
        <v/>
      </c>
      <c r="U159" s="0">
        <f>IF(Q159&lt;=人员资源情况!B$2,1,0)</f>
        <v/>
      </c>
      <c r="V159" s="0">
        <f>IF(T159*U159,Q159-P159,IF(T159&gt;U159,人员资源情况!B$2-P159,IF(T159&lt;U159,任务计划表!Q159-人员资源情况!A$2,0)))*R159*S159</f>
        <v/>
      </c>
      <c r="W159" s="0">
        <f>IF(V159&lt;0,0,V159)</f>
        <v/>
      </c>
      <c r="X159" s="0" t="inlineStr"/>
      <c r="Y159" s="0" t="inlineStr"/>
      <c r="Z159" s="0" t="inlineStr"/>
      <c r="AA159" s="0" t="inlineStr"/>
    </row>
    <row r="160">
      <c r="E160" s="0" t="inlineStr">
        <is>
          <t>亚洲</t>
        </is>
      </c>
      <c r="F160" s="0" t="inlineStr">
        <is>
          <t>巴勒斯坦超声户表二开</t>
        </is>
      </c>
      <c r="G160" s="0" t="inlineStr">
        <is>
          <t>2026-07-09</t>
        </is>
      </c>
      <c r="H160" s="0" t="inlineStr">
        <is>
          <t>2026-08-15</t>
        </is>
      </c>
      <c r="I160" s="0" t="inlineStr">
        <is>
          <t>TR5</t>
        </is>
      </c>
      <c r="J160" s="0" t="inlineStr">
        <is>
          <t>生产资料归档</t>
        </is>
      </c>
      <c r="K160" s="0" t="inlineStr">
        <is>
          <t>@肖庆阳</t>
        </is>
      </c>
      <c r="L160" s="0" t="inlineStr">
        <is>
          <t>2026-08-14</t>
        </is>
      </c>
      <c r="M160" s="0" t="inlineStr">
        <is>
          <t>2026-08-15</t>
        </is>
      </c>
      <c r="N160" s="0" t="n">
        <v>8</v>
      </c>
      <c r="O160" s="0">
        <f>任务计划表!K160</f>
        <v/>
      </c>
      <c r="P160" s="0">
        <f>IF(IF(任务计划表!L160="/",人员资源情况!$A$2,L160)&gt;M160,M160,(IF(任务计划表!L160="/",人员资源情况!$A$2,L160)))</f>
        <v/>
      </c>
      <c r="Q160" s="0">
        <f>IF(M160="/",人员资源情况!$B$2,任务计划表!M160)</f>
        <v/>
      </c>
      <c r="R160" s="0">
        <f>任务计划表!N160</f>
        <v/>
      </c>
      <c r="S160" s="0">
        <f>IF(O160=人员资源情况!C$2,1,0)</f>
        <v/>
      </c>
      <c r="T160" s="0">
        <f>IF(P160&gt;=人员资源情况!A$2,1,0)</f>
        <v/>
      </c>
      <c r="U160" s="0">
        <f>IF(Q160&lt;=人员资源情况!B$2,1,0)</f>
        <v/>
      </c>
      <c r="V160" s="0">
        <f>IF(T160*U160,Q160-P160,IF(T160&gt;U160,人员资源情况!B$2-P160,IF(T160&lt;U160,任务计划表!Q160-人员资源情况!A$2,0)))*R160*S160</f>
        <v/>
      </c>
      <c r="W160" s="0">
        <f>IF(V160&lt;0,0,V160)</f>
        <v/>
      </c>
    </row>
    <row r="161">
      <c r="E161" s="0" t="inlineStr">
        <is>
          <t>亚洲</t>
        </is>
      </c>
      <c r="F161" s="0" t="inlineStr">
        <is>
          <t>巴勒斯坦超声户表二开</t>
        </is>
      </c>
      <c r="G161" s="0" t="inlineStr">
        <is>
          <t>2026-07-09</t>
        </is>
      </c>
      <c r="H161" s="0" t="inlineStr">
        <is>
          <t>2026-08-15</t>
        </is>
      </c>
      <c r="I161" s="0" t="inlineStr">
        <is>
          <t>TR5</t>
        </is>
      </c>
      <c r="J161" s="0" t="inlineStr">
        <is>
          <t>项目结项评审</t>
        </is>
      </c>
      <c r="K161" s="0" t="inlineStr">
        <is>
          <t>@毛文豪(80018842)</t>
        </is>
      </c>
      <c r="L161" s="0" t="inlineStr">
        <is>
          <t>2026-08-14</t>
        </is>
      </c>
      <c r="M161" s="0" t="inlineStr">
        <is>
          <t>2026-08-15</t>
        </is>
      </c>
      <c r="N161" s="0" t="n">
        <v>1</v>
      </c>
      <c r="O161" s="0">
        <f>任务计划表!K161</f>
        <v/>
      </c>
      <c r="P161" s="0">
        <f>IF(IF(任务计划表!L161="/",人员资源情况!$A$2,L161)&gt;M161,M161,(IF(任务计划表!L161="/",人员资源情况!$A$2,L161)))</f>
        <v/>
      </c>
      <c r="Q161" s="0">
        <f>IF(M161="/",人员资源情况!$B$2,任务计划表!M161)</f>
        <v/>
      </c>
      <c r="R161" s="0">
        <f>任务计划表!N161</f>
        <v/>
      </c>
      <c r="S161" s="0">
        <f>IF(O161=人员资源情况!C$2,1,0)</f>
        <v/>
      </c>
      <c r="T161" s="0">
        <f>IF(P161&gt;=人员资源情况!A$2,1,0)</f>
        <v/>
      </c>
      <c r="U161" s="0">
        <f>IF(Q161&lt;=人员资源情况!B$2,1,0)</f>
        <v/>
      </c>
      <c r="V161" s="0">
        <f>IF(T161*U161,Q161-P161,IF(T161&gt;U161,人员资源情况!B$2-P161,IF(T161&lt;U161,任务计划表!Q161-人员资源情况!A$2,0)))*R161*S161</f>
        <v/>
      </c>
      <c r="W161" s="0">
        <f>IF(V161&lt;0,0,V161)</f>
        <v/>
      </c>
    </row>
    <row r="162">
      <c r="E162" s="0" t="inlineStr">
        <is>
          <t>日常工作</t>
        </is>
      </c>
      <c r="F162" s="0" t="inlineStr">
        <is>
          <t>非洲工装-曾翔</t>
        </is>
      </c>
      <c r="G162" s="0" t="inlineStr">
        <is>
          <t>1900-01-01</t>
        </is>
      </c>
      <c r="H162" s="0" t="inlineStr">
        <is>
          <t>2100-01-01</t>
        </is>
      </c>
      <c r="I162" s="0" t="inlineStr">
        <is>
          <t>非洲蓝牙工装</t>
        </is>
      </c>
      <c r="J162" s="0" t="inlineStr">
        <is>
          <t>固件工程师-开发</t>
        </is>
      </c>
      <c r="K162" s="0" t="inlineStr">
        <is>
          <t>@项家祺(80004213)(项家祺)</t>
        </is>
      </c>
      <c r="L162" s="0" t="inlineStr">
        <is>
          <t>2026-07-27</t>
        </is>
      </c>
      <c r="M162" s="0" t="inlineStr">
        <is>
          <t>2026-08-09</t>
        </is>
      </c>
      <c r="N162" s="0" t="n">
        <v>8</v>
      </c>
      <c r="O162" s="0">
        <f>任务计划表!K162</f>
        <v/>
      </c>
      <c r="P162" s="0">
        <f>IF(IF(任务计划表!L162="/",人员资源情况!$A$2,L162)&gt;M162,M162,(IF(任务计划表!L162="/",人员资源情况!$A$2,L162)))</f>
        <v/>
      </c>
      <c r="Q162" s="0">
        <f>IF(M162="/",人员资源情况!$B$2,任务计划表!M162)</f>
        <v/>
      </c>
      <c r="R162" s="0">
        <f>任务计划表!N162</f>
        <v/>
      </c>
      <c r="S162" s="0">
        <f>IF(O162=人员资源情况!C$2,1,0)</f>
        <v/>
      </c>
      <c r="T162" s="0">
        <f>IF(P162&gt;=人员资源情况!A$2,1,0)</f>
        <v/>
      </c>
      <c r="U162" s="0">
        <f>IF(Q162&lt;=人员资源情况!B$2,1,0)</f>
        <v/>
      </c>
      <c r="V162" s="0">
        <f>IF(T162*U162,Q162-P162,IF(T162&gt;U162,人员资源情况!B$2-P162,IF(T162&lt;U162,任务计划表!Q162-人员资源情况!A$2,0)))*R162*S162</f>
        <v/>
      </c>
      <c r="W162" s="0">
        <f>IF(V162&lt;0,0,V162)</f>
        <v/>
      </c>
    </row>
    <row r="163">
      <c r="A163" s="0" t="inlineStr"/>
      <c r="E163" s="0" t="inlineStr">
        <is>
          <t>日常工作</t>
        </is>
      </c>
      <c r="F163" s="0" t="inlineStr">
        <is>
          <t>非洲工装-曾翔</t>
        </is>
      </c>
      <c r="G163" s="0" t="inlineStr">
        <is>
          <t>1900-01-01</t>
        </is>
      </c>
      <c r="H163" s="0" t="inlineStr">
        <is>
          <t>2100-01-01</t>
        </is>
      </c>
      <c r="I163" s="0" t="inlineStr">
        <is>
          <t>非洲蓝牙工装</t>
        </is>
      </c>
      <c r="J163" s="0" t="inlineStr">
        <is>
          <t>固件工程师-开发</t>
        </is>
      </c>
      <c r="K163" s="0" t="inlineStr">
        <is>
          <t>@项家祺(80004213)(项家祺)</t>
        </is>
      </c>
      <c r="L163" s="0" t="inlineStr">
        <is>
          <t>2026-07-27</t>
        </is>
      </c>
      <c r="M163" s="0" t="inlineStr">
        <is>
          <t>2026-08-09</t>
        </is>
      </c>
      <c r="N163" s="0" t="n">
        <v>8</v>
      </c>
      <c r="O163" s="0">
        <f>任务计划表!K163</f>
        <v/>
      </c>
      <c r="P163" s="0">
        <f>IF(IF(任务计划表!L163="/",人员资源情况!$A$2,L163)&gt;M163,M163,(IF(任务计划表!L163="/",人员资源情况!$A$2,L163)))</f>
        <v/>
      </c>
      <c r="Q163" s="0">
        <f>IF(M163="/",人员资源情况!$B$2,任务计划表!M163)</f>
        <v/>
      </c>
      <c r="R163" s="0">
        <f>任务计划表!N163</f>
        <v/>
      </c>
      <c r="S163" s="0">
        <f>IF(O163=人员资源情况!C$2,1,0)</f>
        <v/>
      </c>
      <c r="T163" s="0">
        <f>IF(P163&gt;=人员资源情况!A$2,1,0)</f>
        <v/>
      </c>
      <c r="U163" s="0">
        <f>IF(Q163&lt;=人员资源情况!B$2,1,0)</f>
        <v/>
      </c>
      <c r="V163" s="0">
        <f>IF(T163*U163,Q163-P163,IF(T163&gt;U163,人员资源情况!B$2-P163,IF(T163&lt;U163,任务计划表!Q163-人员资源情况!A$2,0)))*R163*S163</f>
        <v/>
      </c>
      <c r="W163" s="0">
        <f>IF(V163&lt;0,0,V163)</f>
        <v/>
      </c>
    </row>
    <row r="164">
      <c r="B164" s="0" t="inlineStr">
        <is>
          <t>已删除</t>
        </is>
      </c>
      <c r="E164" s="0" t="inlineStr">
        <is>
          <t>亚洲</t>
        </is>
      </c>
      <c r="F164" s="0" t="inlineStr">
        <is>
          <t>巴勒斯坦超声户表二开</t>
        </is>
      </c>
      <c r="G164" s="0" t="inlineStr">
        <is>
          <t>1900-01-01</t>
        </is>
      </c>
      <c r="H164" s="0" t="inlineStr">
        <is>
          <t>2100-01-01</t>
        </is>
      </c>
      <c r="I164" s="0" t="inlineStr">
        <is>
          <t>第二轮测试</t>
        </is>
      </c>
      <c r="J164" s="0" t="inlineStr">
        <is>
          <t>测试工程师</t>
        </is>
      </c>
      <c r="K164" s="0" t="inlineStr">
        <is>
          <t>@袁知正</t>
        </is>
      </c>
      <c r="L164" s="0" t="inlineStr">
        <is>
          <t>2026-08-07</t>
        </is>
      </c>
      <c r="M164" s="0" t="inlineStr">
        <is>
          <t>2026-08-13</t>
        </is>
      </c>
      <c r="N164" s="0" t="n">
        <v>8</v>
      </c>
      <c r="O164" s="0">
        <f>任务计划表!K164</f>
        <v/>
      </c>
      <c r="P164" s="0">
        <f>IF(IF(任务计划表!L164="/",人员资源情况!$A$2,L164)&gt;M164,M164,(IF(任务计划表!L164="/",人员资源情况!$A$2,L164)))</f>
        <v/>
      </c>
      <c r="Q164" s="0">
        <f>IF(M164="/",人员资源情况!$B$2,任务计划表!M164)</f>
        <v/>
      </c>
      <c r="R164" s="0">
        <f>任务计划表!N164</f>
        <v/>
      </c>
      <c r="S164" s="0">
        <f>IF(O164=人员资源情况!C$2,1,0)</f>
        <v/>
      </c>
      <c r="T164" s="0">
        <f>IF(P164&gt;=人员资源情况!A$2,1,0)</f>
        <v/>
      </c>
      <c r="U164" s="0">
        <f>IF(Q164&lt;=人员资源情况!B$2,1,0)</f>
        <v/>
      </c>
      <c r="V164" s="0">
        <f>IF(T164*U164,Q164-P164,IF(T164&gt;U164,人员资源情况!B$2-P164,IF(T164&lt;U164,任务计划表!Q164-人员资源情况!A$2,0)))*R164*S164</f>
        <v/>
      </c>
      <c r="W164" s="0">
        <f>IF(V164&lt;0,0,V164)</f>
        <v/>
      </c>
    </row>
    <row r="165">
      <c r="E165" s="0" t="inlineStr">
        <is>
          <t>亚洲</t>
        </is>
      </c>
      <c r="F165" s="0" t="inlineStr">
        <is>
          <t>巴勒斯坦超声户表二开</t>
        </is>
      </c>
      <c r="G165" s="0" t="inlineStr">
        <is>
          <t>1900-01-01</t>
        </is>
      </c>
      <c r="H165" s="0" t="inlineStr">
        <is>
          <t>2100-01-01</t>
        </is>
      </c>
      <c r="I165" s="0" t="inlineStr">
        <is>
          <t>TR4A</t>
        </is>
      </c>
      <c r="J165" s="0" t="inlineStr">
        <is>
          <t>第二轮测试</t>
        </is>
      </c>
      <c r="K165" s="0" t="inlineStr">
        <is>
          <t>@袁知正</t>
        </is>
      </c>
      <c r="L165" s="0" t="inlineStr">
        <is>
          <t>2026-08-07</t>
        </is>
      </c>
      <c r="M165" s="0" t="inlineStr">
        <is>
          <t>2026-08-13</t>
        </is>
      </c>
      <c r="N165" s="0" t="n">
        <v>8</v>
      </c>
      <c r="O165" s="0">
        <f>任务计划表!K165</f>
        <v/>
      </c>
      <c r="P165" s="0">
        <f>IF(IF(任务计划表!L165="/",人员资源情况!$A$2,L165)&gt;M165,M165,(IF(任务计划表!L165="/",人员资源情况!$A$2,L165)))</f>
        <v/>
      </c>
      <c r="Q165" s="0">
        <f>IF(M165="/",人员资源情况!$B$2,任务计划表!M165)</f>
        <v/>
      </c>
      <c r="R165" s="0">
        <f>任务计划表!N165</f>
        <v/>
      </c>
      <c r="S165" s="0">
        <f>IF(O165=人员资源情况!C$2,1,0)</f>
        <v/>
      </c>
      <c r="T165" s="0">
        <f>IF(P165&gt;=人员资源情况!A$2,1,0)</f>
        <v/>
      </c>
      <c r="U165" s="0">
        <f>IF(Q165&lt;=人员资源情况!B$2,1,0)</f>
        <v/>
      </c>
      <c r="V165" s="0">
        <f>IF(T165*U165,Q165-P165,IF(T165&gt;U165,人员资源情况!B$2-P165,IF(T165&lt;U165,任务计划表!Q165-人员资源情况!A$2,0)))*R165*S165</f>
        <v/>
      </c>
      <c r="W165" s="0">
        <f>IF(V165&lt;0,0,V165)</f>
        <v/>
      </c>
    </row>
    <row r="166">
      <c r="A166" s="0" t="inlineStr">
        <is>
          <t>已归档</t>
        </is>
      </c>
      <c r="E166" s="0" t="inlineStr">
        <is>
          <t>欧洲</t>
        </is>
      </c>
      <c r="F166" s="0" t="inlineStr">
        <is>
          <t>欧洲短款表</t>
        </is>
      </c>
      <c r="G166" s="0" t="inlineStr">
        <is>
          <t>2026-07-13</t>
        </is>
      </c>
      <c r="H166" s="0" t="inlineStr">
        <is>
          <t>2027-03-28</t>
        </is>
      </c>
      <c r="I166" s="0" t="inlineStr">
        <is>
          <t>TR1</t>
        </is>
      </c>
      <c r="J166" s="0" t="inlineStr">
        <is>
          <t>计划阶段</t>
        </is>
      </c>
      <c r="K166" s="0" t="inlineStr">
        <is>
          <t>@童景顺(80004217)(童景顺)</t>
        </is>
      </c>
      <c r="L166" s="0" t="inlineStr">
        <is>
          <t>2026-07-13</t>
        </is>
      </c>
      <c r="M166" s="0" t="inlineStr">
        <is>
          <t>2026-07-18</t>
        </is>
      </c>
      <c r="N166" s="0" t="n">
        <v>1</v>
      </c>
      <c r="O166" s="0">
        <f>任务计划表!K166</f>
        <v/>
      </c>
      <c r="P166" s="0">
        <f>IF(IF(任务计划表!L166="/",人员资源情况!$A$2,L166)&gt;M166,M166,(IF(任务计划表!L166="/",人员资源情况!$A$2,L166)))</f>
        <v/>
      </c>
      <c r="Q166" s="0">
        <f>IF(M166="/",人员资源情况!$B$2,任务计划表!M166)</f>
        <v/>
      </c>
      <c r="R166" s="0">
        <f>任务计划表!N166</f>
        <v/>
      </c>
      <c r="S166" s="0">
        <f>IF(O166=人员资源情况!C$2,1,0)</f>
        <v/>
      </c>
      <c r="T166" s="0">
        <f>IF(P166&gt;=人员资源情况!A$2,1,0)</f>
        <v/>
      </c>
      <c r="U166" s="0">
        <f>IF(Q166&lt;=人员资源情况!B$2,1,0)</f>
        <v/>
      </c>
      <c r="V166" s="0">
        <f>IF(T166*U166,Q166-P166,IF(T166&gt;U166,人员资源情况!B$2-P166,IF(T166&lt;U166,任务计划表!Q166-人员资源情况!A$2,0)))*R166*S166</f>
        <v/>
      </c>
      <c r="W166" s="0">
        <f>IF(V166&lt;0,0,V166)</f>
        <v/>
      </c>
    </row>
    <row r="167">
      <c r="E167" s="0" t="inlineStr">
        <is>
          <t>欧洲</t>
        </is>
      </c>
      <c r="F167" s="0" t="inlineStr">
        <is>
          <t>欧洲短款表</t>
        </is>
      </c>
      <c r="G167" s="0" t="inlineStr">
        <is>
          <t>2026-07-13</t>
        </is>
      </c>
      <c r="H167" s="0" t="inlineStr">
        <is>
          <t>2027-03-28</t>
        </is>
      </c>
      <c r="I167" s="0" t="inlineStr">
        <is>
          <t>TR3</t>
        </is>
      </c>
      <c r="J167" s="0" t="inlineStr">
        <is>
          <t>结构概要设计评审</t>
        </is>
      </c>
      <c r="K167" s="0" t="inlineStr">
        <is>
          <t xml:space="preserve"> @罗穗安</t>
        </is>
      </c>
      <c r="L167" s="0" t="inlineStr">
        <is>
          <t>2026-07-19</t>
        </is>
      </c>
      <c r="M167" s="0" t="inlineStr">
        <is>
          <t>2026-08-06</t>
        </is>
      </c>
      <c r="N167" s="0" t="n">
        <v>0</v>
      </c>
      <c r="O167" s="0">
        <f>任务计划表!K167</f>
        <v/>
      </c>
      <c r="P167" s="0">
        <f>IF(IF(任务计划表!L167="/",人员资源情况!$A$2,L167)&gt;M167,M167,(IF(任务计划表!L167="/",人员资源情况!$A$2,L167)))</f>
        <v/>
      </c>
      <c r="Q167" s="0">
        <f>IF(M167="/",人员资源情况!$B$2,任务计划表!M167)</f>
        <v/>
      </c>
      <c r="R167" s="0">
        <f>任务计划表!N167</f>
        <v/>
      </c>
      <c r="S167" s="0">
        <f>IF(O167=人员资源情况!C$2,1,0)</f>
        <v/>
      </c>
      <c r="T167" s="0">
        <f>IF(P167&gt;=人员资源情况!A$2,1,0)</f>
        <v/>
      </c>
      <c r="U167" s="0">
        <f>IF(Q167&lt;=人员资源情况!B$2,1,0)</f>
        <v/>
      </c>
      <c r="V167" s="0">
        <f>IF(T167*U167,Q167-P167,IF(T167&gt;U167,人员资源情况!B$2-P167,IF(T167&lt;U167,任务计划表!Q167-人员资源情况!A$2,0)))*R167*S167</f>
        <v/>
      </c>
      <c r="W167" s="0">
        <f>IF(V167&lt;0,0,V167)</f>
        <v/>
      </c>
    </row>
    <row r="168">
      <c r="E168" s="0" t="inlineStr">
        <is>
          <t>欧洲</t>
        </is>
      </c>
      <c r="F168" s="0" t="inlineStr">
        <is>
          <t>欧洲短款表</t>
        </is>
      </c>
      <c r="G168" s="0" t="inlineStr">
        <is>
          <t>2026-07-13</t>
        </is>
      </c>
      <c r="H168" s="0" t="inlineStr">
        <is>
          <t>2027-03-28</t>
        </is>
      </c>
      <c r="I168" s="0" t="inlineStr">
        <is>
          <t>TR3</t>
        </is>
      </c>
      <c r="J168" s="0" t="inlineStr">
        <is>
          <t>硬件概要设计评审</t>
        </is>
      </c>
      <c r="K168" s="0" t="inlineStr">
        <is>
          <t>@童景顺(80004217)(童景顺)</t>
        </is>
      </c>
      <c r="L168" s="0" t="inlineStr">
        <is>
          <t>2026-07-18</t>
        </is>
      </c>
      <c r="M168" s="0" t="inlineStr">
        <is>
          <t>2026-08-06</t>
        </is>
      </c>
      <c r="N168" s="0" t="n">
        <v>2</v>
      </c>
      <c r="O168" s="0">
        <f>任务计划表!K168</f>
        <v/>
      </c>
      <c r="P168" s="0">
        <f>IF(IF(任务计划表!L168="/",人员资源情况!$A$2,L168)&gt;M168,M168,(IF(任务计划表!L168="/",人员资源情况!$A$2,L168)))</f>
        <v/>
      </c>
      <c r="Q168" s="0">
        <f>IF(M168="/",人员资源情况!$B$2,任务计划表!M168)</f>
        <v/>
      </c>
      <c r="R168" s="0">
        <f>任务计划表!N168</f>
        <v/>
      </c>
      <c r="S168" s="0">
        <f>IF(O168=人员资源情况!C$2,1,0)</f>
        <v/>
      </c>
      <c r="T168" s="0">
        <f>IF(P168&gt;=人员资源情况!A$2,1,0)</f>
        <v/>
      </c>
      <c r="U168" s="0">
        <f>IF(Q168&lt;=人员资源情况!B$2,1,0)</f>
        <v/>
      </c>
      <c r="V168" s="0">
        <f>IF(T168*U168,Q168-P168,IF(T168&gt;U168,人员资源情况!B$2-P168,IF(T168&lt;U168,任务计划表!Q168-人员资源情况!A$2,0)))*R168*S168</f>
        <v/>
      </c>
      <c r="W168" s="0">
        <f>IF(V168&lt;0,0,V168)</f>
        <v/>
      </c>
    </row>
    <row r="169">
      <c r="E169" s="0" t="inlineStr">
        <is>
          <t>欧洲</t>
        </is>
      </c>
      <c r="F169" s="0" t="inlineStr">
        <is>
          <t>欧洲短款表</t>
        </is>
      </c>
      <c r="G169" s="0" t="inlineStr">
        <is>
          <t>2026-07-13</t>
        </is>
      </c>
      <c r="H169" s="0" t="inlineStr">
        <is>
          <t>2027-03-28</t>
        </is>
      </c>
      <c r="I169" s="0" t="inlineStr">
        <is>
          <t>TR3</t>
        </is>
      </c>
      <c r="J169" s="0" t="inlineStr">
        <is>
          <t>固件概要设计评审</t>
        </is>
      </c>
      <c r="K169" s="0" t="inlineStr">
        <is>
          <t>@项家祺(80004213)(项家祺)</t>
        </is>
      </c>
      <c r="L169" s="0" t="inlineStr">
        <is>
          <t>2026-07-18</t>
        </is>
      </c>
      <c r="M169" s="0" t="inlineStr">
        <is>
          <t>2026-08-07</t>
        </is>
      </c>
      <c r="N169" s="0" t="n">
        <v>2</v>
      </c>
      <c r="O169" s="0">
        <f>任务计划表!K169</f>
        <v/>
      </c>
      <c r="P169" s="0">
        <f>IF(IF(任务计划表!L169="/",人员资源情况!$A$2,L169)&gt;M169,M169,(IF(任务计划表!L169="/",人员资源情况!$A$2,L169)))</f>
        <v/>
      </c>
      <c r="Q169" s="0">
        <f>IF(M169="/",人员资源情况!$B$2,任务计划表!M169)</f>
        <v/>
      </c>
      <c r="R169" s="0">
        <f>任务计划表!N169</f>
        <v/>
      </c>
      <c r="S169" s="0">
        <f>IF(O169=人员资源情况!C$2,1,0)</f>
        <v/>
      </c>
      <c r="T169" s="0">
        <f>IF(P169&gt;=人员资源情况!A$2,1,0)</f>
        <v/>
      </c>
      <c r="U169" s="0">
        <f>IF(Q169&lt;=人员资源情况!B$2,1,0)</f>
        <v/>
      </c>
      <c r="V169" s="0">
        <f>IF(T169*U169,Q169-P169,IF(T169&gt;U169,人员资源情况!B$2-P169,IF(T169&lt;U169,任务计划表!Q169-人员资源情况!A$2,0)))*R169*S169</f>
        <v/>
      </c>
      <c r="W169" s="0">
        <f>IF(V169&lt;0,0,V169)</f>
        <v/>
      </c>
    </row>
    <row r="170">
      <c r="E170" s="0" t="inlineStr">
        <is>
          <t>欧洲</t>
        </is>
      </c>
      <c r="F170" s="0" t="inlineStr">
        <is>
          <t>欧洲短款表</t>
        </is>
      </c>
      <c r="G170" s="0" t="inlineStr">
        <is>
          <t>2026-07-13</t>
        </is>
      </c>
      <c r="H170" s="0" t="inlineStr">
        <is>
          <t>2027-03-28</t>
        </is>
      </c>
      <c r="I170" s="0" t="inlineStr">
        <is>
          <t>TR4</t>
        </is>
      </c>
      <c r="J170" s="0" t="inlineStr">
        <is>
          <t>结构详细设计评审</t>
        </is>
      </c>
      <c r="K170" s="0" t="inlineStr">
        <is>
          <t>@罗穗安</t>
        </is>
      </c>
      <c r="L170" s="0" t="inlineStr">
        <is>
          <t>2026-08-07</t>
        </is>
      </c>
      <c r="M170" s="0" t="inlineStr">
        <is>
          <t>2026-08-12</t>
        </is>
      </c>
      <c r="N170" s="0" t="n">
        <v>2</v>
      </c>
      <c r="O170" s="0">
        <f>任务计划表!K170</f>
        <v/>
      </c>
      <c r="P170" s="0">
        <f>IF(IF(任务计划表!L170="/",人员资源情况!$A$2,L170)&gt;M170,M170,(IF(任务计划表!L170="/",人员资源情况!$A$2,L170)))</f>
        <v/>
      </c>
      <c r="Q170" s="0">
        <f>IF(M170="/",人员资源情况!$B$2,任务计划表!M170)</f>
        <v/>
      </c>
      <c r="R170" s="0">
        <f>任务计划表!N170</f>
        <v/>
      </c>
      <c r="S170" s="0">
        <f>IF(O170=人员资源情况!C$2,1,0)</f>
        <v/>
      </c>
      <c r="T170" s="0">
        <f>IF(P170&gt;=人员资源情况!A$2,1,0)</f>
        <v/>
      </c>
      <c r="U170" s="0">
        <f>IF(Q170&lt;=人员资源情况!B$2,1,0)</f>
        <v/>
      </c>
      <c r="V170" s="0">
        <f>IF(T170*U170,Q170-P170,IF(T170&gt;U170,人员资源情况!B$2-P170,IF(T170&lt;U170,任务计划表!Q170-人员资源情况!A$2,0)))*R170*S170</f>
        <v/>
      </c>
      <c r="W170" s="0">
        <f>IF(V170&lt;0,0,V170)</f>
        <v/>
      </c>
    </row>
    <row r="171">
      <c r="E171" s="0" t="inlineStr">
        <is>
          <t>欧洲</t>
        </is>
      </c>
      <c r="F171" s="0" t="inlineStr">
        <is>
          <t>欧洲短款表</t>
        </is>
      </c>
      <c r="G171" s="0" t="inlineStr">
        <is>
          <t>2026-07-13</t>
        </is>
      </c>
      <c r="H171" s="0" t="inlineStr">
        <is>
          <t>2027-03-28</t>
        </is>
      </c>
      <c r="I171" s="0" t="inlineStr">
        <is>
          <t>TR4</t>
        </is>
      </c>
      <c r="J171" s="0" t="inlineStr">
        <is>
          <t>开模</t>
        </is>
      </c>
      <c r="K171" s="0" t="inlineStr">
        <is>
          <t>@罗穗安</t>
        </is>
      </c>
      <c r="L171" s="0" t="inlineStr">
        <is>
          <t>2026-08-13</t>
        </is>
      </c>
      <c r="M171" s="0" t="inlineStr">
        <is>
          <t>2026-09-21</t>
        </is>
      </c>
      <c r="N171" s="0" t="n">
        <v>2</v>
      </c>
      <c r="O171" s="0">
        <f>任务计划表!K171</f>
        <v/>
      </c>
      <c r="P171" s="0">
        <f>IF(IF(任务计划表!L171="/",人员资源情况!$A$2,L171)&gt;M171,M171,(IF(任务计划表!L171="/",人员资源情况!$A$2,L171)))</f>
        <v/>
      </c>
      <c r="Q171" s="0">
        <f>IF(M171="/",人员资源情况!$B$2,任务计划表!M171)</f>
        <v/>
      </c>
      <c r="R171" s="0">
        <f>任务计划表!N171</f>
        <v/>
      </c>
      <c r="S171" s="0">
        <f>IF(O171=人员资源情况!C$2,1,0)</f>
        <v/>
      </c>
      <c r="T171" s="0">
        <f>IF(P171&gt;=人员资源情况!A$2,1,0)</f>
        <v/>
      </c>
      <c r="U171" s="0">
        <f>IF(Q171&lt;=人员资源情况!B$2,1,0)</f>
        <v/>
      </c>
      <c r="V171" s="0">
        <f>IF(T171*U171,Q171-P171,IF(T171&gt;U171,人员资源情况!B$2-P171,IF(T171&lt;U171,任务计划表!Q171-人员资源情况!A$2,0)))*R171*S171</f>
        <v/>
      </c>
      <c r="W171" s="0">
        <f>IF(V171&lt;0,0,V171)</f>
        <v/>
      </c>
    </row>
    <row r="172">
      <c r="E172" s="0" t="inlineStr">
        <is>
          <t>欧洲</t>
        </is>
      </c>
      <c r="F172" s="0" t="inlineStr">
        <is>
          <t>欧洲短款表</t>
        </is>
      </c>
      <c r="G172" s="0" t="inlineStr">
        <is>
          <t>2026-07-13</t>
        </is>
      </c>
      <c r="H172" s="0" t="inlineStr">
        <is>
          <t>2027-03-28</t>
        </is>
      </c>
      <c r="I172" s="0" t="inlineStr">
        <is>
          <t>TR4</t>
        </is>
      </c>
      <c r="J172" s="0" t="inlineStr">
        <is>
          <t>物料编码申请</t>
        </is>
      </c>
      <c r="K172" s="0" t="inlineStr">
        <is>
          <t>@罗穗安</t>
        </is>
      </c>
      <c r="L172" s="0" t="inlineStr">
        <is>
          <t>2026-09-22</t>
        </is>
      </c>
      <c r="M172" s="0" t="inlineStr">
        <is>
          <t>2026-09-24</t>
        </is>
      </c>
      <c r="N172" s="0" t="n">
        <v>0</v>
      </c>
      <c r="O172" s="0">
        <f>任务计划表!K172</f>
        <v/>
      </c>
      <c r="P172" s="0">
        <f>IF(IF(任务计划表!L172="/",人员资源情况!$A$2,L172)&gt;M172,M172,(IF(任务计划表!L172="/",人员资源情况!$A$2,L172)))</f>
        <v/>
      </c>
      <c r="Q172" s="0">
        <f>IF(M172="/",人员资源情况!$B$2,任务计划表!M172)</f>
        <v/>
      </c>
      <c r="R172" s="0">
        <f>任务计划表!N172</f>
        <v/>
      </c>
      <c r="S172" s="0">
        <f>IF(O172=人员资源情况!C$2,1,0)</f>
        <v/>
      </c>
      <c r="T172" s="0">
        <f>IF(P172&gt;=人员资源情况!A$2,1,0)</f>
        <v/>
      </c>
      <c r="U172" s="0">
        <f>IF(Q172&lt;=人员资源情况!B$2,1,0)</f>
        <v/>
      </c>
      <c r="V172" s="0">
        <f>IF(T172*U172,Q172-P172,IF(T172&gt;U172,人员资源情况!B$2-P172,IF(T172&lt;U172,任务计划表!Q172-人员资源情况!A$2,0)))*R172*S172</f>
        <v/>
      </c>
      <c r="W172" s="0">
        <f>IF(V172&lt;0,0,V172)</f>
        <v/>
      </c>
    </row>
    <row r="173">
      <c r="E173" s="0" t="inlineStr">
        <is>
          <t>欧洲</t>
        </is>
      </c>
      <c r="F173" s="0" t="inlineStr">
        <is>
          <t>欧洲短款表</t>
        </is>
      </c>
      <c r="G173" s="0" t="inlineStr">
        <is>
          <t>2026-07-13</t>
        </is>
      </c>
      <c r="H173" s="0" t="inlineStr">
        <is>
          <t>2027-03-28</t>
        </is>
      </c>
      <c r="I173" s="0" t="inlineStr">
        <is>
          <t>TR4</t>
        </is>
      </c>
      <c r="J173" s="0" t="inlineStr">
        <is>
          <t>模具验证</t>
        </is>
      </c>
      <c r="K173" s="0" t="inlineStr">
        <is>
          <t>@罗穗安</t>
        </is>
      </c>
      <c r="L173" s="0" t="inlineStr">
        <is>
          <t>2026-09-25</t>
        </is>
      </c>
      <c r="M173" s="0" t="inlineStr">
        <is>
          <t>2026-09-27</t>
        </is>
      </c>
      <c r="N173" s="0" t="n">
        <v>2</v>
      </c>
      <c r="O173" s="0">
        <f>任务计划表!K173</f>
        <v/>
      </c>
      <c r="P173" s="0">
        <f>IF(IF(任务计划表!L173="/",人员资源情况!$A$2,L173)&gt;M173,M173,(IF(任务计划表!L173="/",人员资源情况!$A$2,L173)))</f>
        <v/>
      </c>
      <c r="Q173" s="0">
        <f>IF(M173="/",人员资源情况!$B$2,任务计划表!M173)</f>
        <v/>
      </c>
      <c r="R173" s="0">
        <f>任务计划表!N173</f>
        <v/>
      </c>
      <c r="S173" s="0">
        <f>IF(O173=人员资源情况!C$2,1,0)</f>
        <v/>
      </c>
      <c r="T173" s="0">
        <f>IF(P173&gt;=人员资源情况!A$2,1,0)</f>
        <v/>
      </c>
      <c r="U173" s="0">
        <f>IF(Q173&lt;=人员资源情况!B$2,1,0)</f>
        <v/>
      </c>
      <c r="V173" s="0">
        <f>IF(T173*U173,Q173-P173,IF(T173&gt;U173,人员资源情况!B$2-P173,IF(T173&lt;U173,任务计划表!Q173-人员资源情况!A$2,0)))*R173*S173</f>
        <v/>
      </c>
      <c r="W173" s="0">
        <f>IF(V173&lt;0,0,V173)</f>
        <v/>
      </c>
    </row>
    <row r="174">
      <c r="E174" s="0" t="inlineStr">
        <is>
          <t>欧洲</t>
        </is>
      </c>
      <c r="F174" s="0" t="inlineStr">
        <is>
          <t>欧洲短款表</t>
        </is>
      </c>
      <c r="G174" s="0" t="inlineStr">
        <is>
          <t>2026-07-13</t>
        </is>
      </c>
      <c r="H174" s="0" t="inlineStr">
        <is>
          <t>2027-03-28</t>
        </is>
      </c>
      <c r="I174" s="0" t="inlineStr">
        <is>
          <t>TR4</t>
        </is>
      </c>
      <c r="J174" s="0" t="inlineStr">
        <is>
          <t>修模</t>
        </is>
      </c>
      <c r="K174" s="0" t="inlineStr">
        <is>
          <t>@罗穗安</t>
        </is>
      </c>
      <c r="L174" s="0" t="inlineStr">
        <is>
          <t>2026-09-28</t>
        </is>
      </c>
      <c r="M174" s="0" t="inlineStr">
        <is>
          <t>2026-10-12</t>
        </is>
      </c>
      <c r="N174" s="0" t="n">
        <v>2</v>
      </c>
      <c r="O174" s="0">
        <f>任务计划表!K174</f>
        <v/>
      </c>
      <c r="P174" s="0">
        <f>IF(IF(任务计划表!L174="/",人员资源情况!$A$2,L174)&gt;M174,M174,(IF(任务计划表!L174="/",人员资源情况!$A$2,L174)))</f>
        <v/>
      </c>
      <c r="Q174" s="0">
        <f>IF(M174="/",人员资源情况!$B$2,任务计划表!M174)</f>
        <v/>
      </c>
      <c r="R174" s="0">
        <f>任务计划表!N174</f>
        <v/>
      </c>
      <c r="S174" s="0">
        <f>IF(O174=人员资源情况!C$2,1,0)</f>
        <v/>
      </c>
      <c r="T174" s="0">
        <f>IF(P174&gt;=人员资源情况!A$2,1,0)</f>
        <v/>
      </c>
      <c r="U174" s="0">
        <f>IF(Q174&lt;=人员资源情况!B$2,1,0)</f>
        <v/>
      </c>
      <c r="V174" s="0">
        <f>IF(T174*U174,Q174-P174,IF(T174&gt;U174,人员资源情况!B$2-P174,IF(T174&lt;U174,任务计划表!Q174-人员资源情况!A$2,0)))*R174*S174</f>
        <v/>
      </c>
      <c r="W174" s="0">
        <f>IF(V174&lt;0,0,V174)</f>
        <v/>
      </c>
    </row>
    <row r="175">
      <c r="E175" s="0" t="inlineStr">
        <is>
          <t>欧洲</t>
        </is>
      </c>
      <c r="F175" s="0" t="inlineStr">
        <is>
          <t>欧洲短款表</t>
        </is>
      </c>
      <c r="G175" s="0" t="inlineStr">
        <is>
          <t>2026-07-13</t>
        </is>
      </c>
      <c r="H175" s="0" t="inlineStr">
        <is>
          <t>2027-03-28</t>
        </is>
      </c>
      <c r="I175" s="0" t="inlineStr">
        <is>
          <t>TR4</t>
        </is>
      </c>
      <c r="J175" s="0" t="inlineStr">
        <is>
          <t>硬件详细设计评审</t>
        </is>
      </c>
      <c r="K175" s="0" t="inlineStr">
        <is>
          <t>@童景顺(80004217)(童景顺)</t>
        </is>
      </c>
      <c r="L175" s="0" t="inlineStr">
        <is>
          <t>2026-08-06</t>
        </is>
      </c>
      <c r="M175" s="0" t="inlineStr">
        <is>
          <t>2026-08-09</t>
        </is>
      </c>
      <c r="N175" s="0" t="n">
        <v>4</v>
      </c>
      <c r="O175" s="0">
        <f>任务计划表!K175</f>
        <v/>
      </c>
      <c r="P175" s="0">
        <f>IF(IF(任务计划表!L175="/",人员资源情况!$A$2,L175)&gt;M175,M175,(IF(任务计划表!L175="/",人员资源情况!$A$2,L175)))</f>
        <v/>
      </c>
      <c r="Q175" s="0">
        <f>IF(M175="/",人员资源情况!$B$2,任务计划表!M175)</f>
        <v/>
      </c>
      <c r="R175" s="0">
        <f>任务计划表!N175</f>
        <v/>
      </c>
      <c r="S175" s="0">
        <f>IF(O175=人员资源情况!C$2,1,0)</f>
        <v/>
      </c>
      <c r="T175" s="0">
        <f>IF(P175&gt;=人员资源情况!A$2,1,0)</f>
        <v/>
      </c>
      <c r="U175" s="0">
        <f>IF(Q175&lt;=人员资源情况!B$2,1,0)</f>
        <v/>
      </c>
      <c r="V175" s="0">
        <f>IF(T175*U175,Q175-P175,IF(T175&gt;U175,人员资源情况!B$2-P175,IF(T175&lt;U175,任务计划表!Q175-人员资源情况!A$2,0)))*R175*S175</f>
        <v/>
      </c>
      <c r="W175" s="0">
        <f>IF(V175&lt;0,0,V175)</f>
        <v/>
      </c>
    </row>
    <row r="176">
      <c r="E176" s="0" t="inlineStr">
        <is>
          <t>欧洲</t>
        </is>
      </c>
      <c r="F176" s="0" t="inlineStr">
        <is>
          <t>欧洲短款表</t>
        </is>
      </c>
      <c r="G176" s="0" t="inlineStr">
        <is>
          <t>2026-07-13</t>
        </is>
      </c>
      <c r="H176" s="0" t="inlineStr">
        <is>
          <t>2027-03-28</t>
        </is>
      </c>
      <c r="I176" s="0" t="inlineStr">
        <is>
          <t>TR4</t>
        </is>
      </c>
      <c r="J176" s="0" t="inlineStr">
        <is>
          <t>物料编码申请</t>
        </is>
      </c>
      <c r="K176" s="0" t="inlineStr">
        <is>
          <t>@童景顺(80004217)(童景顺)</t>
        </is>
      </c>
      <c r="L176" s="0" t="inlineStr">
        <is>
          <t>2026-08-10</t>
        </is>
      </c>
      <c r="M176" s="0" t="inlineStr">
        <is>
          <t>2026-08-10</t>
        </is>
      </c>
      <c r="N176" s="0" t="n">
        <v>1</v>
      </c>
      <c r="O176" s="0">
        <f>任务计划表!K176</f>
        <v/>
      </c>
      <c r="P176" s="0">
        <f>IF(IF(任务计划表!L176="/",人员资源情况!$A$2,L176)&gt;M176,M176,(IF(任务计划表!L176="/",人员资源情况!$A$2,L176)))</f>
        <v/>
      </c>
      <c r="Q176" s="0">
        <f>IF(M176="/",人员资源情况!$B$2,任务计划表!M176)</f>
        <v/>
      </c>
      <c r="R176" s="0">
        <f>任务计划表!N176</f>
        <v/>
      </c>
      <c r="S176" s="0">
        <f>IF(O176=人员资源情况!C$2,1,0)</f>
        <v/>
      </c>
      <c r="T176" s="0">
        <f>IF(P176&gt;=人员资源情况!A$2,1,0)</f>
        <v/>
      </c>
      <c r="U176" s="0">
        <f>IF(Q176&lt;=人员资源情况!B$2,1,0)</f>
        <v/>
      </c>
      <c r="V176" s="0">
        <f>IF(T176*U176,Q176-P176,IF(T176&gt;U176,人员资源情况!B$2-P176,IF(T176&lt;U176,任务计划表!Q176-人员资源情况!A$2,0)))*R176*S176</f>
        <v/>
      </c>
      <c r="W176" s="0">
        <f>IF(V176&lt;0,0,V176)</f>
        <v/>
      </c>
    </row>
    <row r="177">
      <c r="E177" s="0" t="inlineStr">
        <is>
          <t>欧洲</t>
        </is>
      </c>
      <c r="F177" s="0" t="inlineStr">
        <is>
          <t>欧洲短款表</t>
        </is>
      </c>
      <c r="G177" s="0" t="inlineStr">
        <is>
          <t>2026-07-13</t>
        </is>
      </c>
      <c r="H177" s="0" t="inlineStr">
        <is>
          <t>2027-03-28</t>
        </is>
      </c>
      <c r="I177" s="0" t="inlineStr">
        <is>
          <t>TR4</t>
        </is>
      </c>
      <c r="J177" s="0" t="inlineStr">
        <is>
          <t>BOM评审</t>
        </is>
      </c>
      <c r="K177" s="0" t="inlineStr">
        <is>
          <t>@童景顺(80004217)(童景顺)</t>
        </is>
      </c>
      <c r="L177" s="0" t="inlineStr">
        <is>
          <t>2026-08-09</t>
        </is>
      </c>
      <c r="M177" s="0" t="inlineStr">
        <is>
          <t>2026-08-09</t>
        </is>
      </c>
      <c r="N177" s="0" t="n">
        <v>1</v>
      </c>
      <c r="O177" s="0">
        <f>任务计划表!K177</f>
        <v/>
      </c>
      <c r="P177" s="0">
        <f>IF(IF(任务计划表!L177="/",人员资源情况!$A$2,L177)&gt;M177,M177,(IF(任务计划表!L177="/",人员资源情况!$A$2,L177)))</f>
        <v/>
      </c>
      <c r="Q177" s="0">
        <f>IF(M177="/",人员资源情况!$B$2,任务计划表!M177)</f>
        <v/>
      </c>
      <c r="R177" s="0">
        <f>任务计划表!N177</f>
        <v/>
      </c>
      <c r="S177" s="0">
        <f>IF(O177=人员资源情况!C$2,1,0)</f>
        <v/>
      </c>
      <c r="T177" s="0">
        <f>IF(P177&gt;=人员资源情况!A$2,1,0)</f>
        <v/>
      </c>
      <c r="U177" s="0">
        <f>IF(Q177&lt;=人员资源情况!B$2,1,0)</f>
        <v/>
      </c>
      <c r="V177" s="0">
        <f>IF(T177*U177,Q177-P177,IF(T177&gt;U177,人员资源情况!B$2-P177,IF(T177&lt;U177,任务计划表!Q177-人员资源情况!A$2,0)))*R177*S177</f>
        <v/>
      </c>
      <c r="W177" s="0">
        <f>IF(V177&lt;0,0,V177)</f>
        <v/>
      </c>
    </row>
    <row r="178">
      <c r="E178" s="0" t="inlineStr">
        <is>
          <t>欧洲</t>
        </is>
      </c>
      <c r="F178" s="0" t="inlineStr">
        <is>
          <t>欧洲短款表</t>
        </is>
      </c>
      <c r="G178" s="0" t="inlineStr">
        <is>
          <t>2026-07-13</t>
        </is>
      </c>
      <c r="H178" s="0" t="inlineStr">
        <is>
          <t>2027-03-28</t>
        </is>
      </c>
      <c r="I178" s="0" t="inlineStr">
        <is>
          <t>TR4</t>
        </is>
      </c>
      <c r="J178" s="0" t="inlineStr">
        <is>
          <t>硬件详细设计文档归档</t>
        </is>
      </c>
      <c r="K178" s="0" t="inlineStr">
        <is>
          <t>@童景顺(80004217)(童景顺)</t>
        </is>
      </c>
      <c r="L178" s="0" t="inlineStr">
        <is>
          <t>2026-09-13</t>
        </is>
      </c>
      <c r="M178" s="0" t="inlineStr">
        <is>
          <t>2026-09-13</t>
        </is>
      </c>
      <c r="N178" s="0" t="n">
        <v>1</v>
      </c>
      <c r="O178" s="0">
        <f>任务计划表!K178</f>
        <v/>
      </c>
      <c r="P178" s="0">
        <f>IF(IF(任务计划表!L178="/",人员资源情况!$A$2,L178)&gt;M178,M178,(IF(任务计划表!L178="/",人员资源情况!$A$2,L178)))</f>
        <v/>
      </c>
      <c r="Q178" s="0">
        <f>IF(M178="/",人员资源情况!$B$2,任务计划表!M178)</f>
        <v/>
      </c>
      <c r="R178" s="0">
        <f>任务计划表!N178</f>
        <v/>
      </c>
      <c r="S178" s="0">
        <f>IF(O178=人员资源情况!C$2,1,0)</f>
        <v/>
      </c>
      <c r="T178" s="0">
        <f>IF(P178&gt;=人员资源情况!A$2,1,0)</f>
        <v/>
      </c>
      <c r="U178" s="0">
        <f>IF(Q178&lt;=人员资源情况!B$2,1,0)</f>
        <v/>
      </c>
      <c r="V178" s="0">
        <f>IF(T178*U178,Q178-P178,IF(T178&gt;U178,人员资源情况!B$2-P178,IF(T178&lt;U178,任务计划表!Q178-人员资源情况!A$2,0)))*R178*S178</f>
        <v/>
      </c>
      <c r="W178" s="0">
        <f>IF(V178&lt;0,0,V178)</f>
        <v/>
      </c>
    </row>
    <row r="179">
      <c r="E179" s="0" t="inlineStr">
        <is>
          <t>欧洲</t>
        </is>
      </c>
      <c r="F179" s="0" t="inlineStr">
        <is>
          <t>欧洲短款表</t>
        </is>
      </c>
      <c r="G179" s="0" t="inlineStr">
        <is>
          <t>2026-07-13</t>
        </is>
      </c>
      <c r="H179" s="0" t="inlineStr">
        <is>
          <t>2027-03-28</t>
        </is>
      </c>
      <c r="I179" s="0" t="inlineStr">
        <is>
          <t>TR4</t>
        </is>
      </c>
      <c r="J179" s="0" t="inlineStr">
        <is>
          <t>SDK-CBB开发</t>
        </is>
      </c>
      <c r="K179" s="0" t="inlineStr">
        <is>
          <t>@袁琮欣(80015786)(袁琮欣)</t>
        </is>
      </c>
      <c r="L179" s="0" t="inlineStr">
        <is>
          <t>2026-08-09</t>
        </is>
      </c>
      <c r="M179" s="0" t="inlineStr">
        <is>
          <t>2026-08-12</t>
        </is>
      </c>
      <c r="N179" s="0" t="n">
        <v>6</v>
      </c>
      <c r="O179" s="0">
        <f>任务计划表!K179</f>
        <v/>
      </c>
      <c r="P179" s="0">
        <f>IF(IF(任务计划表!L179="/",人员资源情况!$A$2,L179)&gt;M179,M179,(IF(任务计划表!L179="/",人员资源情况!$A$2,L179)))</f>
        <v/>
      </c>
      <c r="Q179" s="0">
        <f>IF(M179="/",人员资源情况!$B$2,任务计划表!M179)</f>
        <v/>
      </c>
      <c r="R179" s="0">
        <f>任务计划表!N179</f>
        <v/>
      </c>
      <c r="S179" s="0">
        <f>IF(O179=人员资源情况!C$2,1,0)</f>
        <v/>
      </c>
      <c r="T179" s="0">
        <f>IF(P179&gt;=人员资源情况!A$2,1,0)</f>
        <v/>
      </c>
      <c r="U179" s="0">
        <f>IF(Q179&lt;=人员资源情况!B$2,1,0)</f>
        <v/>
      </c>
      <c r="V179" s="0">
        <f>IF(T179*U179,Q179-P179,IF(T179&gt;U179,人员资源情况!B$2-P179,IF(T179&lt;U179,任务计划表!Q179-人员资源情况!A$2,0)))*R179*S179</f>
        <v/>
      </c>
      <c r="W179" s="0">
        <f>IF(V179&lt;0,0,V179)</f>
        <v/>
      </c>
    </row>
    <row r="180">
      <c r="E180" s="0" t="inlineStr">
        <is>
          <t>欧洲</t>
        </is>
      </c>
      <c r="F180" s="0" t="inlineStr">
        <is>
          <t>欧洲短款表</t>
        </is>
      </c>
      <c r="G180" s="0" t="inlineStr">
        <is>
          <t>2026-07-13</t>
        </is>
      </c>
      <c r="H180" s="0" t="inlineStr">
        <is>
          <t>2027-03-28</t>
        </is>
      </c>
      <c r="I180" s="0" t="inlineStr">
        <is>
          <t>TR4</t>
        </is>
      </c>
      <c r="J180" s="0" t="inlineStr">
        <is>
          <t>计量开发</t>
        </is>
      </c>
      <c r="K180" s="0" t="inlineStr">
        <is>
          <t>@袁琮欣(80015786)(袁琮欣)</t>
        </is>
      </c>
      <c r="L180" s="0" t="inlineStr">
        <is>
          <t>2026-08-09</t>
        </is>
      </c>
      <c r="M180" s="0" t="inlineStr">
        <is>
          <t>2026-08-12</t>
        </is>
      </c>
      <c r="N180" s="0" t="n">
        <v>6</v>
      </c>
      <c r="O180" s="0">
        <f>任务计划表!K180</f>
        <v/>
      </c>
      <c r="P180" s="0">
        <f>IF(IF(任务计划表!L180="/",人员资源情况!$A$2,L180)&gt;M180,M180,(IF(任务计划表!L180="/",人员资源情况!$A$2,L180)))</f>
        <v/>
      </c>
      <c r="Q180" s="0">
        <f>IF(M180="/",人员资源情况!$B$2,任务计划表!M180)</f>
        <v/>
      </c>
      <c r="R180" s="0">
        <f>任务计划表!N180</f>
        <v/>
      </c>
      <c r="S180" s="0">
        <f>IF(O180=人员资源情况!C$2,1,0)</f>
        <v/>
      </c>
      <c r="T180" s="0">
        <f>IF(P180&gt;=人员资源情况!A$2,1,0)</f>
        <v/>
      </c>
      <c r="U180" s="0">
        <f>IF(Q180&lt;=人员资源情况!B$2,1,0)</f>
        <v/>
      </c>
      <c r="V180" s="0">
        <f>IF(T180*U180,Q180-P180,IF(T180&gt;U180,人员资源情况!B$2-P180,IF(T180&lt;U180,任务计划表!Q180-人员资源情况!A$2,0)))*R180*S180</f>
        <v/>
      </c>
      <c r="W180" s="0">
        <f>IF(V180&lt;0,0,V180)</f>
        <v/>
      </c>
    </row>
    <row r="181">
      <c r="E181" s="0" t="inlineStr">
        <is>
          <t>欧洲</t>
        </is>
      </c>
      <c r="F181" s="0" t="inlineStr">
        <is>
          <t>欧洲短款表</t>
        </is>
      </c>
      <c r="G181" s="0" t="inlineStr">
        <is>
          <t>2026-07-13</t>
        </is>
      </c>
      <c r="H181" s="0" t="inlineStr">
        <is>
          <t>2027-03-28</t>
        </is>
      </c>
      <c r="I181" s="0" t="inlineStr">
        <is>
          <t>TR4</t>
        </is>
      </c>
      <c r="J181" s="0" t="inlineStr">
        <is>
          <t>显示开发</t>
        </is>
      </c>
      <c r="K181" s="0" t="inlineStr">
        <is>
          <t>@李昊龙(80016809)</t>
        </is>
      </c>
      <c r="L181" s="0" t="inlineStr">
        <is>
          <t>2026-08-13</t>
        </is>
      </c>
      <c r="M181" s="0" t="inlineStr">
        <is>
          <t>2026-08-16</t>
        </is>
      </c>
      <c r="N181" s="0" t="n">
        <v>6</v>
      </c>
      <c r="O181" s="0">
        <f>任务计划表!K181</f>
        <v/>
      </c>
      <c r="P181" s="0">
        <f>IF(IF(任务计划表!L181="/",人员资源情况!$A$2,L181)&gt;M181,M181,(IF(任务计划表!L181="/",人员资源情况!$A$2,L181)))</f>
        <v/>
      </c>
      <c r="Q181" s="0">
        <f>IF(M181="/",人员资源情况!$B$2,任务计划表!M181)</f>
        <v/>
      </c>
      <c r="R181" s="0">
        <f>任务计划表!N181</f>
        <v/>
      </c>
      <c r="S181" s="0">
        <f>IF(O181=人员资源情况!C$2,1,0)</f>
        <v/>
      </c>
      <c r="T181" s="0">
        <f>IF(P181&gt;=人员资源情况!A$2,1,0)</f>
        <v/>
      </c>
      <c r="U181" s="0">
        <f>IF(Q181&lt;=人员资源情况!B$2,1,0)</f>
        <v/>
      </c>
      <c r="V181" s="0">
        <f>IF(T181*U181,Q181-P181,IF(T181&gt;U181,人员资源情况!B$2-P181,IF(T181&lt;U181,任务计划表!Q181-人员资源情况!A$2,0)))*R181*S181</f>
        <v/>
      </c>
      <c r="W181" s="0">
        <f>IF(V181&lt;0,0,V181)</f>
        <v/>
      </c>
    </row>
    <row r="182">
      <c r="E182" s="0" t="inlineStr">
        <is>
          <t>欧洲</t>
        </is>
      </c>
      <c r="F182" s="0" t="inlineStr">
        <is>
          <t>欧洲短款表</t>
        </is>
      </c>
      <c r="G182" s="0" t="inlineStr">
        <is>
          <t>2026-07-13</t>
        </is>
      </c>
      <c r="H182" s="0" t="inlineStr">
        <is>
          <t>2027-03-28</t>
        </is>
      </c>
      <c r="I182" s="0" t="inlineStr">
        <is>
          <t>TR4</t>
        </is>
      </c>
      <c r="J182" s="0" t="inlineStr">
        <is>
          <t>控制开发</t>
        </is>
      </c>
      <c r="K182" s="0" t="inlineStr">
        <is>
          <t>@李昊龙(80016809)</t>
        </is>
      </c>
      <c r="L182" s="0" t="inlineStr">
        <is>
          <t>2026-08-13</t>
        </is>
      </c>
      <c r="M182" s="0" t="inlineStr">
        <is>
          <t>2026-08-19</t>
        </is>
      </c>
      <c r="N182" s="0" t="n">
        <v>6</v>
      </c>
      <c r="O182" s="0">
        <f>任务计划表!K182</f>
        <v/>
      </c>
      <c r="P182" s="0">
        <f>IF(IF(任务计划表!L182="/",人员资源情况!$A$2,L182)&gt;M182,M182,(IF(任务计划表!L182="/",人员资源情况!$A$2,L182)))</f>
        <v/>
      </c>
      <c r="Q182" s="0">
        <f>IF(M182="/",人员资源情况!$B$2,任务计划表!M182)</f>
        <v/>
      </c>
      <c r="R182" s="0">
        <f>任务计划表!N182</f>
        <v/>
      </c>
      <c r="S182" s="0">
        <f>IF(O182=人员资源情况!C$2,1,0)</f>
        <v/>
      </c>
      <c r="T182" s="0">
        <f>IF(P182&gt;=人员资源情况!A$2,1,0)</f>
        <v/>
      </c>
      <c r="U182" s="0">
        <f>IF(Q182&lt;=人员资源情况!B$2,1,0)</f>
        <v/>
      </c>
      <c r="V182" s="0">
        <f>IF(T182*U182,Q182-P182,IF(T182&gt;U182,人员资源情况!B$2-P182,IF(T182&lt;U182,任务计划表!Q182-人员资源情况!A$2,0)))*R182*S182</f>
        <v/>
      </c>
      <c r="W182" s="0">
        <f>IF(V182&lt;0,0,V182)</f>
        <v/>
      </c>
    </row>
    <row r="183">
      <c r="E183" s="0" t="inlineStr">
        <is>
          <t>欧洲</t>
        </is>
      </c>
      <c r="F183" s="0" t="inlineStr">
        <is>
          <t>欧洲短款表</t>
        </is>
      </c>
      <c r="G183" s="0" t="inlineStr">
        <is>
          <t>2026-07-13</t>
        </is>
      </c>
      <c r="H183" s="0" t="inlineStr">
        <is>
          <t>2027-03-28</t>
        </is>
      </c>
      <c r="I183" s="0" t="inlineStr">
        <is>
          <t>TR4</t>
        </is>
      </c>
      <c r="J183" s="0" t="inlineStr">
        <is>
          <t>通讯开发</t>
        </is>
      </c>
      <c r="K183" s="0" t="inlineStr">
        <is>
          <t>@袁琮欣(80015786)(袁琮欣)</t>
        </is>
      </c>
      <c r="L183" s="0" t="inlineStr">
        <is>
          <t>2026-08-20</t>
        </is>
      </c>
      <c r="M183" s="0" t="inlineStr">
        <is>
          <t>2026-08-29</t>
        </is>
      </c>
      <c r="N183" s="0" t="n">
        <v>6</v>
      </c>
      <c r="O183" s="0">
        <f>任务计划表!K183</f>
        <v/>
      </c>
      <c r="P183" s="0">
        <f>IF(IF(任务计划表!L183="/",人员资源情况!$A$2,L183)&gt;M183,M183,(IF(任务计划表!L183="/",人员资源情况!$A$2,L183)))</f>
        <v/>
      </c>
      <c r="Q183" s="0">
        <f>IF(M183="/",人员资源情况!$B$2,任务计划表!M183)</f>
        <v/>
      </c>
      <c r="R183" s="0">
        <f>任务计划表!N183</f>
        <v/>
      </c>
      <c r="S183" s="0">
        <f>IF(O183=人员资源情况!C$2,1,0)</f>
        <v/>
      </c>
      <c r="T183" s="0">
        <f>IF(P183&gt;=人员资源情况!A$2,1,0)</f>
        <v/>
      </c>
      <c r="U183" s="0">
        <f>IF(Q183&lt;=人员资源情况!B$2,1,0)</f>
        <v/>
      </c>
      <c r="V183" s="0">
        <f>IF(T183*U183,Q183-P183,IF(T183&gt;U183,人员资源情况!B$2-P183,IF(T183&lt;U183,任务计划表!Q183-人员资源情况!A$2,0)))*R183*S183</f>
        <v/>
      </c>
      <c r="W183" s="0">
        <f>IF(V183&lt;0,0,V183)</f>
        <v/>
      </c>
    </row>
    <row r="184">
      <c r="E184" s="0" t="inlineStr">
        <is>
          <t>欧洲</t>
        </is>
      </c>
      <c r="F184" s="0" t="inlineStr">
        <is>
          <t>欧洲短款表</t>
        </is>
      </c>
      <c r="G184" s="0" t="inlineStr">
        <is>
          <t>2026-07-13</t>
        </is>
      </c>
      <c r="H184" s="0" t="inlineStr">
        <is>
          <t>2027-03-28</t>
        </is>
      </c>
      <c r="I184" s="0" t="inlineStr">
        <is>
          <t>TR4</t>
        </is>
      </c>
      <c r="J184" s="0" t="inlineStr">
        <is>
          <t>快照开发</t>
        </is>
      </c>
      <c r="K184" s="0" t="inlineStr">
        <is>
          <t>@李昊龙(80016809)</t>
        </is>
      </c>
      <c r="L184" s="0" t="inlineStr">
        <is>
          <t>2026-08-17</t>
        </is>
      </c>
      <c r="M184" s="0" t="inlineStr">
        <is>
          <t>2026-08-21</t>
        </is>
      </c>
      <c r="N184" s="0" t="n">
        <v>6</v>
      </c>
      <c r="O184" s="0">
        <f>任务计划表!K184</f>
        <v/>
      </c>
      <c r="P184" s="0">
        <f>IF(IF(任务计划表!L184="/",人员资源情况!$A$2,L184)&gt;M184,M184,(IF(任务计划表!L184="/",人员资源情况!$A$2,L184)))</f>
        <v/>
      </c>
      <c r="Q184" s="0">
        <f>IF(M184="/",人员资源情况!$B$2,任务计划表!M184)</f>
        <v/>
      </c>
      <c r="R184" s="0">
        <f>任务计划表!N184</f>
        <v/>
      </c>
      <c r="S184" s="0">
        <f>IF(O184=人员资源情况!C$2,1,0)</f>
        <v/>
      </c>
      <c r="T184" s="0">
        <f>IF(P184&gt;=人员资源情况!A$2,1,0)</f>
        <v/>
      </c>
      <c r="U184" s="0">
        <f>IF(Q184&lt;=人员资源情况!B$2,1,0)</f>
        <v/>
      </c>
      <c r="V184" s="0">
        <f>IF(T184*U184,Q184-P184,IF(T184&gt;U184,人员资源情况!B$2-P184,IF(T184&lt;U184,任务计划表!Q184-人员资源情况!A$2,0)))*R184*S184</f>
        <v/>
      </c>
      <c r="W184" s="0">
        <f>IF(V184&lt;0,0,V184)</f>
        <v/>
      </c>
    </row>
    <row r="185">
      <c r="E185" s="0" t="inlineStr">
        <is>
          <t>欧洲</t>
        </is>
      </c>
      <c r="F185" s="0" t="inlineStr">
        <is>
          <t>欧洲短款表</t>
        </is>
      </c>
      <c r="G185" s="0" t="inlineStr">
        <is>
          <t>2026-07-13</t>
        </is>
      </c>
      <c r="H185" s="0" t="inlineStr">
        <is>
          <t>2027-03-28</t>
        </is>
      </c>
      <c r="I185" s="0" t="inlineStr">
        <is>
          <t>TR4</t>
        </is>
      </c>
      <c r="J185" s="0" t="inlineStr">
        <is>
          <t>生产相关开发</t>
        </is>
      </c>
      <c r="K185" s="0" t="inlineStr">
        <is>
          <t>@李昊龙(80016809)</t>
        </is>
      </c>
      <c r="L185" s="0" t="inlineStr">
        <is>
          <t>2026-08-22</t>
        </is>
      </c>
      <c r="M185" s="0" t="inlineStr">
        <is>
          <t>2026-08-30</t>
        </is>
      </c>
      <c r="N185" s="0" t="n">
        <v>6</v>
      </c>
      <c r="O185" s="0">
        <f>任务计划表!K185</f>
        <v/>
      </c>
      <c r="P185" s="0">
        <f>IF(IF(任务计划表!L185="/",人员资源情况!$A$2,L185)&gt;M185,M185,(IF(任务计划表!L185="/",人员资源情况!$A$2,L185)))</f>
        <v/>
      </c>
      <c r="Q185" s="0">
        <f>IF(M185="/",人员资源情况!$B$2,任务计划表!M185)</f>
        <v/>
      </c>
      <c r="R185" s="0">
        <f>任务计划表!N185</f>
        <v/>
      </c>
      <c r="S185" s="0">
        <f>IF(O185=人员资源情况!C$2,1,0)</f>
        <v/>
      </c>
      <c r="T185" s="0">
        <f>IF(P185&gt;=人员资源情况!A$2,1,0)</f>
        <v/>
      </c>
      <c r="U185" s="0">
        <f>IF(Q185&lt;=人员资源情况!B$2,1,0)</f>
        <v/>
      </c>
      <c r="V185" s="0">
        <f>IF(T185*U185,Q185-P185,IF(T185&gt;U185,人员资源情况!B$2-P185,IF(T185&lt;U185,任务计划表!Q185-人员资源情况!A$2,0)))*R185*S185</f>
        <v/>
      </c>
      <c r="W185" s="0">
        <f>IF(V185&lt;0,0,V185)</f>
        <v/>
      </c>
    </row>
    <row r="186">
      <c r="E186" s="0" t="inlineStr">
        <is>
          <t>欧洲</t>
        </is>
      </c>
      <c r="F186" s="0" t="inlineStr">
        <is>
          <t>欧洲短款表</t>
        </is>
      </c>
      <c r="G186" s="0" t="inlineStr">
        <is>
          <t>2026-07-13</t>
        </is>
      </c>
      <c r="H186" s="0" t="inlineStr">
        <is>
          <t>2027-03-28</t>
        </is>
      </c>
      <c r="I186" s="0" t="inlineStr">
        <is>
          <t>TR4</t>
        </is>
      </c>
      <c r="J186" s="0" t="inlineStr">
        <is>
          <t>固件验证阶段</t>
        </is>
      </c>
      <c r="K186" s="0" t="inlineStr">
        <is>
          <t>张国庆</t>
        </is>
      </c>
      <c r="L186" s="0" t="inlineStr">
        <is>
          <t>2026-09-10</t>
        </is>
      </c>
      <c r="M186" s="0" t="inlineStr">
        <is>
          <t>2026-09-13</t>
        </is>
      </c>
      <c r="N186" s="0" t="n">
        <v>6</v>
      </c>
      <c r="O186" s="0">
        <f>任务计划表!K186</f>
        <v/>
      </c>
      <c r="P186" s="0">
        <f>IF(IF(任务计划表!L186="/",人员资源情况!$A$2,L186)&gt;M186,M186,(IF(任务计划表!L186="/",人员资源情况!$A$2,L186)))</f>
        <v/>
      </c>
      <c r="Q186" s="0">
        <f>IF(M186="/",人员资源情况!$B$2,任务计划表!M186)</f>
        <v/>
      </c>
      <c r="R186" s="0">
        <f>任务计划表!N186</f>
        <v/>
      </c>
      <c r="S186" s="0">
        <f>IF(O186=人员资源情况!C$2,1,0)</f>
        <v/>
      </c>
      <c r="T186" s="0">
        <f>IF(P186&gt;=人员资源情况!A$2,1,0)</f>
        <v/>
      </c>
      <c r="U186" s="0">
        <f>IF(Q186&lt;=人员资源情况!B$2,1,0)</f>
        <v/>
      </c>
      <c r="V186" s="0">
        <f>IF(T186*U186,Q186-P186,IF(T186&gt;U186,人员资源情况!B$2-P186,IF(T186&lt;U186,任务计划表!Q186-人员资源情况!A$2,0)))*R186*S186</f>
        <v/>
      </c>
      <c r="W186" s="0">
        <f>IF(V186&lt;0,0,V186)</f>
        <v/>
      </c>
    </row>
    <row r="187">
      <c r="E187" s="0" t="inlineStr">
        <is>
          <t>欧洲</t>
        </is>
      </c>
      <c r="F187" s="0" t="inlineStr">
        <is>
          <t>欧洲短款表</t>
        </is>
      </c>
      <c r="G187" s="0" t="inlineStr">
        <is>
          <t>2026-07-13</t>
        </is>
      </c>
      <c r="H187" s="0" t="inlineStr">
        <is>
          <t>2027-03-28</t>
        </is>
      </c>
      <c r="I187" s="0" t="inlineStr">
        <is>
          <t>TR4</t>
        </is>
      </c>
      <c r="J187" s="0" t="inlineStr">
        <is>
          <t>测试方案(大纲）设计</t>
        </is>
      </c>
      <c r="K187" s="0" t="inlineStr">
        <is>
          <t>@袁知正</t>
        </is>
      </c>
      <c r="L187" s="0" t="inlineStr">
        <is>
          <t>2026-08-08</t>
        </is>
      </c>
      <c r="M187" s="0" t="inlineStr">
        <is>
          <t>2026-08-12</t>
        </is>
      </c>
      <c r="N187" s="0" t="n">
        <v>5</v>
      </c>
      <c r="O187" s="0">
        <f>任务计划表!K187</f>
        <v/>
      </c>
      <c r="P187" s="0">
        <f>IF(IF(任务计划表!L187="/",人员资源情况!$A$2,L187)&gt;M187,M187,(IF(任务计划表!L187="/",人员资源情况!$A$2,L187)))</f>
        <v/>
      </c>
      <c r="Q187" s="0">
        <f>IF(M187="/",人员资源情况!$B$2,任务计划表!M187)</f>
        <v/>
      </c>
      <c r="R187" s="0">
        <f>任务计划表!N187</f>
        <v/>
      </c>
      <c r="S187" s="0">
        <f>IF(O187=人员资源情况!C$2,1,0)</f>
        <v/>
      </c>
      <c r="T187" s="0">
        <f>IF(P187&gt;=人员资源情况!A$2,1,0)</f>
        <v/>
      </c>
      <c r="U187" s="0">
        <f>IF(Q187&lt;=人员资源情况!B$2,1,0)</f>
        <v/>
      </c>
      <c r="V187" s="0">
        <f>IF(T187*U187,Q187-P187,IF(T187&gt;U187,人员资源情况!B$2-P187,IF(T187&lt;U187,任务计划表!Q187-人员资源情况!A$2,0)))*R187*S187</f>
        <v/>
      </c>
      <c r="W187" s="0">
        <f>IF(V187&lt;0,0,V187)</f>
        <v/>
      </c>
    </row>
    <row r="188">
      <c r="E188" s="0" t="inlineStr">
        <is>
          <t>欧洲</t>
        </is>
      </c>
      <c r="F188" s="0" t="inlineStr">
        <is>
          <t>欧洲短款表</t>
        </is>
      </c>
      <c r="G188" s="0" t="inlineStr">
        <is>
          <t>2026-07-13</t>
        </is>
      </c>
      <c r="H188" s="0" t="inlineStr">
        <is>
          <t>2027-03-28</t>
        </is>
      </c>
      <c r="I188" s="0" t="inlineStr">
        <is>
          <t>TR4</t>
        </is>
      </c>
      <c r="J188" s="0" t="inlineStr">
        <is>
          <t>测试方案（大纲）评审</t>
        </is>
      </c>
      <c r="K188" s="0" t="inlineStr">
        <is>
          <t>@袁知正</t>
        </is>
      </c>
      <c r="L188" s="0" t="inlineStr">
        <is>
          <t>2026-08-13</t>
        </is>
      </c>
      <c r="M188" s="0" t="inlineStr">
        <is>
          <t>2026-08-13</t>
        </is>
      </c>
      <c r="N188" s="0" t="n">
        <v>5</v>
      </c>
      <c r="O188" s="0">
        <f>任务计划表!K188</f>
        <v/>
      </c>
      <c r="P188" s="0">
        <f>IF(IF(任务计划表!L188="/",人员资源情况!$A$2,L188)&gt;M188,M188,(IF(任务计划表!L188="/",人员资源情况!$A$2,L188)))</f>
        <v/>
      </c>
      <c r="Q188" s="0">
        <f>IF(M188="/",人员资源情况!$B$2,任务计划表!M188)</f>
        <v/>
      </c>
      <c r="R188" s="0">
        <f>任务计划表!N188</f>
        <v/>
      </c>
      <c r="S188" s="0">
        <f>IF(O188=人员资源情况!C$2,1,0)</f>
        <v/>
      </c>
      <c r="T188" s="0">
        <f>IF(P188&gt;=人员资源情况!A$2,1,0)</f>
        <v/>
      </c>
      <c r="U188" s="0">
        <f>IF(Q188&lt;=人员资源情况!B$2,1,0)</f>
        <v/>
      </c>
      <c r="V188" s="0">
        <f>IF(T188*U188,Q188-P188,IF(T188&gt;U188,人员资源情况!B$2-P188,IF(T188&lt;U188,任务计划表!Q188-人员资源情况!A$2,0)))*R188*S188</f>
        <v/>
      </c>
      <c r="W188" s="0">
        <f>IF(V188&lt;0,0,V188)</f>
        <v/>
      </c>
    </row>
    <row r="189">
      <c r="E189" s="0" t="inlineStr">
        <is>
          <t>欧洲</t>
        </is>
      </c>
      <c r="F189" s="0" t="inlineStr">
        <is>
          <t>欧洲短款表</t>
        </is>
      </c>
      <c r="G189" s="0" t="inlineStr">
        <is>
          <t>2026-07-13</t>
        </is>
      </c>
      <c r="H189" s="0" t="inlineStr">
        <is>
          <t>2027-03-28</t>
        </is>
      </c>
      <c r="I189" s="0" t="inlineStr">
        <is>
          <t>TR4</t>
        </is>
      </c>
      <c r="J189" s="0" t="inlineStr">
        <is>
          <t>测试用例评审</t>
        </is>
      </c>
      <c r="K189" s="0" t="inlineStr">
        <is>
          <t>@袁知正</t>
        </is>
      </c>
      <c r="L189" s="0" t="inlineStr">
        <is>
          <t>2026-08-14</t>
        </is>
      </c>
      <c r="M189" s="0" t="inlineStr">
        <is>
          <t>2026-08-31</t>
        </is>
      </c>
      <c r="N189" s="0" t="n">
        <v>5</v>
      </c>
      <c r="O189" s="0">
        <f>任务计划表!K189</f>
        <v/>
      </c>
      <c r="P189" s="0">
        <f>IF(IF(任务计划表!L189="/",人员资源情况!$A$2,L189)&gt;M189,M189,(IF(任务计划表!L189="/",人员资源情况!$A$2,L189)))</f>
        <v/>
      </c>
      <c r="Q189" s="0">
        <f>IF(M189="/",人员资源情况!$B$2,任务计划表!M189)</f>
        <v/>
      </c>
      <c r="R189" s="0">
        <f>任务计划表!N189</f>
        <v/>
      </c>
      <c r="S189" s="0">
        <f>IF(O189=人员资源情况!C$2,1,0)</f>
        <v/>
      </c>
      <c r="T189" s="0">
        <f>IF(P189&gt;=人员资源情况!A$2,1,0)</f>
        <v/>
      </c>
      <c r="U189" s="0">
        <f>IF(Q189&lt;=人员资源情况!B$2,1,0)</f>
        <v/>
      </c>
      <c r="V189" s="0">
        <f>IF(T189*U189,Q189-P189,IF(T189&gt;U189,人员资源情况!B$2-P189,IF(T189&lt;U189,任务计划表!Q189-人员资源情况!A$2,0)))*R189*S189</f>
        <v/>
      </c>
      <c r="W189" s="0">
        <f>IF(V189&lt;0,0,V189)</f>
        <v/>
      </c>
    </row>
    <row r="190">
      <c r="E190" s="0" t="inlineStr">
        <is>
          <t>欧洲</t>
        </is>
      </c>
      <c r="F190" s="0" t="inlineStr">
        <is>
          <t>欧洲短款表</t>
        </is>
      </c>
      <c r="G190" s="0" t="inlineStr">
        <is>
          <t>2026-07-13</t>
        </is>
      </c>
      <c r="H190" s="0" t="inlineStr">
        <is>
          <t>2027-03-28</t>
        </is>
      </c>
      <c r="I190" s="0" t="inlineStr">
        <is>
          <t>TR4</t>
        </is>
      </c>
      <c r="J190" s="0" t="inlineStr">
        <is>
          <t>辅助器具设计</t>
        </is>
      </c>
      <c r="K190" s="0" t="inlineStr">
        <is>
          <t>@肖庆阳</t>
        </is>
      </c>
      <c r="L190" s="0" t="inlineStr">
        <is>
          <t>2026-08-08</t>
        </is>
      </c>
      <c r="M190" s="0" t="inlineStr">
        <is>
          <t>2026-09-21</t>
        </is>
      </c>
      <c r="N190" s="0" t="n">
        <v>3</v>
      </c>
      <c r="O190" s="0">
        <f>任务计划表!K190</f>
        <v/>
      </c>
      <c r="P190" s="0">
        <f>IF(IF(任务计划表!L190="/",人员资源情况!$A$2,L190)&gt;M190,M190,(IF(任务计划表!L190="/",人员资源情况!$A$2,L190)))</f>
        <v/>
      </c>
      <c r="Q190" s="0">
        <f>IF(M190="/",人员资源情况!$B$2,任务计划表!M190)</f>
        <v/>
      </c>
      <c r="R190" s="0">
        <f>任务计划表!N190</f>
        <v/>
      </c>
      <c r="S190" s="0">
        <f>IF(O190=人员资源情况!C$2,1,0)</f>
        <v/>
      </c>
      <c r="T190" s="0">
        <f>IF(P190&gt;=人员资源情况!A$2,1,0)</f>
        <v/>
      </c>
      <c r="U190" s="0">
        <f>IF(Q190&lt;=人员资源情况!B$2,1,0)</f>
        <v/>
      </c>
      <c r="V190" s="0">
        <f>IF(T190*U190,Q190-P190,IF(T190&gt;U190,人员资源情况!B$2-P190,IF(T190&lt;U190,任务计划表!Q190-人员资源情况!A$2,0)))*R190*S190</f>
        <v/>
      </c>
      <c r="W190" s="0">
        <f>IF(V190&lt;0,0,V190)</f>
        <v/>
      </c>
    </row>
    <row r="191">
      <c r="E191" s="0" t="inlineStr">
        <is>
          <t>欧洲</t>
        </is>
      </c>
      <c r="F191" s="0" t="inlineStr">
        <is>
          <t>欧洲短款表</t>
        </is>
      </c>
      <c r="G191" s="0" t="inlineStr">
        <is>
          <t>2026-07-13</t>
        </is>
      </c>
      <c r="H191" s="0" t="inlineStr">
        <is>
          <t>2027-03-28</t>
        </is>
      </c>
      <c r="I191" s="0" t="inlineStr">
        <is>
          <t>TR4A</t>
        </is>
      </c>
      <c r="J191" s="0" t="inlineStr">
        <is>
          <t>EVT机下单</t>
        </is>
      </c>
      <c r="K191" s="0" t="inlineStr">
        <is>
          <t xml:space="preserve"> @韩燕飞</t>
        </is>
      </c>
      <c r="L191" s="0" t="inlineStr">
        <is>
          <t>2026-08-13</t>
        </is>
      </c>
      <c r="M191" s="0" t="inlineStr">
        <is>
          <t>2026-08-13</t>
        </is>
      </c>
      <c r="N191" s="0" t="n">
        <v>1</v>
      </c>
      <c r="O191" s="0">
        <f>任务计划表!K191</f>
        <v/>
      </c>
      <c r="P191" s="0">
        <f>IF(IF(任务计划表!L191="/",人员资源情况!$A$2,L191)&gt;M191,M191,(IF(任务计划表!L191="/",人员资源情况!$A$2,L191)))</f>
        <v/>
      </c>
      <c r="Q191" s="0">
        <f>IF(M191="/",人员资源情况!$B$2,任务计划表!M191)</f>
        <v/>
      </c>
      <c r="R191" s="0">
        <f>任务计划表!N191</f>
        <v/>
      </c>
      <c r="S191" s="0">
        <f>IF(O191=人员资源情况!C$2,1,0)</f>
        <v/>
      </c>
      <c r="T191" s="0">
        <f>IF(P191&gt;=人员资源情况!A$2,1,0)</f>
        <v/>
      </c>
      <c r="U191" s="0">
        <f>IF(Q191&lt;=人员资源情况!B$2,1,0)</f>
        <v/>
      </c>
      <c r="V191" s="0">
        <f>IF(T191*U191,Q191-P191,IF(T191&gt;U191,人员资源情况!B$2-P191,IF(T191&lt;U191,任务计划表!Q191-人员资源情况!A$2,0)))*R191*S191</f>
        <v/>
      </c>
      <c r="W191" s="0">
        <f>IF(V191&lt;0,0,V191)</f>
        <v/>
      </c>
    </row>
    <row r="192">
      <c r="E192" s="0" t="inlineStr">
        <is>
          <t>欧洲</t>
        </is>
      </c>
      <c r="F192" s="0" t="inlineStr">
        <is>
          <t>欧洲短款表</t>
        </is>
      </c>
      <c r="G192" s="0" t="inlineStr">
        <is>
          <t>2026-07-13</t>
        </is>
      </c>
      <c r="H192" s="0" t="inlineStr">
        <is>
          <t>2027-03-28</t>
        </is>
      </c>
      <c r="I192" s="0" t="inlineStr">
        <is>
          <t>TR4A</t>
        </is>
      </c>
      <c r="J192" s="0" t="inlineStr">
        <is>
          <t>EVT-原型样机BOM归档</t>
        </is>
      </c>
      <c r="K192" s="0" t="inlineStr">
        <is>
          <t>@童景顺(80004217)(童景顺)</t>
        </is>
      </c>
      <c r="L192" s="0" t="inlineStr">
        <is>
          <t>2026-08-14</t>
        </is>
      </c>
      <c r="M192" s="0" t="inlineStr">
        <is>
          <t>2026-08-14</t>
        </is>
      </c>
      <c r="N192" s="0" t="n">
        <v>1</v>
      </c>
      <c r="O192" s="0">
        <f>任务计划表!K192</f>
        <v/>
      </c>
      <c r="P192" s="0">
        <f>IF(IF(任务计划表!L192="/",人员资源情况!$A$2,L192)&gt;M192,M192,(IF(任务计划表!L192="/",人员资源情况!$A$2,L192)))</f>
        <v/>
      </c>
      <c r="Q192" s="0">
        <f>IF(M192="/",人员资源情况!$B$2,任务计划表!M192)</f>
        <v/>
      </c>
      <c r="R192" s="0">
        <f>任务计划表!N192</f>
        <v/>
      </c>
      <c r="S192" s="0">
        <f>IF(O192=人员资源情况!C$2,1,0)</f>
        <v/>
      </c>
      <c r="T192" s="0">
        <f>IF(P192&gt;=人员资源情况!A$2,1,0)</f>
        <v/>
      </c>
      <c r="U192" s="0">
        <f>IF(Q192&lt;=人员资源情况!B$2,1,0)</f>
        <v/>
      </c>
      <c r="V192" s="0">
        <f>IF(T192*U192,Q192-P192,IF(T192&gt;U192,人员资源情况!B$2-P192,IF(T192&lt;U192,任务计划表!Q192-人员资源情况!A$2,0)))*R192*S192</f>
        <v/>
      </c>
      <c r="W192" s="0">
        <f>IF(V192&lt;0,0,V192)</f>
        <v/>
      </c>
    </row>
    <row r="193">
      <c r="E193" s="0" t="inlineStr">
        <is>
          <t>欧洲</t>
        </is>
      </c>
      <c r="F193" s="0" t="inlineStr">
        <is>
          <t>欧洲短款表</t>
        </is>
      </c>
      <c r="G193" s="0" t="inlineStr">
        <is>
          <t>2026-07-13</t>
        </is>
      </c>
      <c r="H193" s="0" t="inlineStr">
        <is>
          <t>2027-03-28</t>
        </is>
      </c>
      <c r="I193" s="0" t="inlineStr">
        <is>
          <t>TR4A</t>
        </is>
      </c>
      <c r="J193" s="0" t="inlineStr">
        <is>
          <t>原型样机采购</t>
        </is>
      </c>
      <c r="K193" s="0" t="inlineStr">
        <is>
          <t xml:space="preserve"> @采购</t>
        </is>
      </c>
      <c r="L193" s="0" t="inlineStr">
        <is>
          <t>2026-08-15</t>
        </is>
      </c>
      <c r="M193" s="0" t="inlineStr">
        <is>
          <t>2026-09-09</t>
        </is>
      </c>
      <c r="N193" s="0" t="n">
        <v>0</v>
      </c>
      <c r="O193" s="0">
        <f>任务计划表!K193</f>
        <v/>
      </c>
      <c r="P193" s="0">
        <f>IF(IF(任务计划表!L193="/",人员资源情况!$A$2,L193)&gt;M193,M193,(IF(任务计划表!L193="/",人员资源情况!$A$2,L193)))</f>
        <v/>
      </c>
      <c r="Q193" s="0">
        <f>IF(M193="/",人员资源情况!$B$2,任务计划表!M193)</f>
        <v/>
      </c>
      <c r="R193" s="0">
        <f>任务计划表!N193</f>
        <v/>
      </c>
      <c r="S193" s="0">
        <f>IF(O193=人员资源情况!C$2,1,0)</f>
        <v/>
      </c>
      <c r="T193" s="0">
        <f>IF(P193&gt;=人员资源情况!A$2,1,0)</f>
        <v/>
      </c>
      <c r="U193" s="0">
        <f>IF(Q193&lt;=人员资源情况!B$2,1,0)</f>
        <v/>
      </c>
      <c r="V193" s="0">
        <f>IF(T193*U193,Q193-P193,IF(T193&gt;U193,人员资源情况!B$2-P193,IF(T193&lt;U193,任务计划表!Q193-人员资源情况!A$2,0)))*R193*S193</f>
        <v/>
      </c>
      <c r="W193" s="0">
        <f>IF(V193&lt;0,0,V193)</f>
        <v/>
      </c>
    </row>
    <row r="194">
      <c r="E194" s="0" t="inlineStr">
        <is>
          <t>欧洲</t>
        </is>
      </c>
      <c r="F194" s="0" t="inlineStr">
        <is>
          <t>欧洲短款表</t>
        </is>
      </c>
      <c r="G194" s="0" t="inlineStr">
        <is>
          <t>2026-07-13</t>
        </is>
      </c>
      <c r="H194" s="0" t="inlineStr">
        <is>
          <t>2027-03-28</t>
        </is>
      </c>
      <c r="I194" s="0" t="inlineStr">
        <is>
          <t>TR4A</t>
        </is>
      </c>
      <c r="J194" s="0" t="inlineStr">
        <is>
          <t>原先相机生产</t>
        </is>
      </c>
      <c r="K194" s="0" t="inlineStr">
        <is>
          <t>@文春英</t>
        </is>
      </c>
      <c r="L194" s="0" t="inlineStr">
        <is>
          <t>2026-09-10</t>
        </is>
      </c>
      <c r="M194" s="0" t="inlineStr">
        <is>
          <t>2026-09-12</t>
        </is>
      </c>
      <c r="N194" s="0" t="n">
        <v>8</v>
      </c>
      <c r="O194" s="0">
        <f>任务计划表!K194</f>
        <v/>
      </c>
      <c r="P194" s="0">
        <f>IF(IF(任务计划表!L194="/",人员资源情况!$A$2,L194)&gt;M194,M194,(IF(任务计划表!L194="/",人员资源情况!$A$2,L194)))</f>
        <v/>
      </c>
      <c r="Q194" s="0">
        <f>IF(M194="/",人员资源情况!$B$2,任务计划表!M194)</f>
        <v/>
      </c>
      <c r="R194" s="0">
        <f>任务计划表!N194</f>
        <v/>
      </c>
      <c r="S194" s="0">
        <f>IF(O194=人员资源情况!C$2,1,0)</f>
        <v/>
      </c>
      <c r="T194" s="0">
        <f>IF(P194&gt;=人员资源情况!A$2,1,0)</f>
        <v/>
      </c>
      <c r="U194" s="0">
        <f>IF(Q194&lt;=人员资源情况!B$2,1,0)</f>
        <v/>
      </c>
      <c r="V194" s="0">
        <f>IF(T194*U194,Q194-P194,IF(T194&gt;U194,人员资源情况!B$2-P194,IF(T194&lt;U194,任务计划表!Q194-人员资源情况!A$2,0)))*R194*S194</f>
        <v/>
      </c>
      <c r="W194" s="0">
        <f>IF(V194&lt;0,0,V194)</f>
        <v/>
      </c>
    </row>
    <row r="195">
      <c r="E195" s="0" t="inlineStr">
        <is>
          <t>欧洲</t>
        </is>
      </c>
      <c r="F195" s="0" t="inlineStr">
        <is>
          <t>欧洲短款表</t>
        </is>
      </c>
      <c r="G195" s="0" t="inlineStr">
        <is>
          <t>2026-07-13</t>
        </is>
      </c>
      <c r="H195" s="0" t="inlineStr">
        <is>
          <t>2027-03-28</t>
        </is>
      </c>
      <c r="I195" s="0" t="inlineStr">
        <is>
          <t>TR4A</t>
        </is>
      </c>
      <c r="J195" s="0" t="inlineStr">
        <is>
          <t>可生产性评估</t>
        </is>
      </c>
      <c r="K195" s="0" t="inlineStr">
        <is>
          <t>@肖庆阳</t>
        </is>
      </c>
      <c r="L195" s="0" t="inlineStr">
        <is>
          <t>2026-09-11</t>
        </is>
      </c>
      <c r="M195" s="0" t="inlineStr">
        <is>
          <t>2026-09-13</t>
        </is>
      </c>
      <c r="N195" s="0" t="n">
        <v>8</v>
      </c>
      <c r="O195" s="0">
        <f>任务计划表!K195</f>
        <v/>
      </c>
      <c r="P195" s="0">
        <f>IF(IF(任务计划表!L195="/",人员资源情况!$A$2,L195)&gt;M195,M195,(IF(任务计划表!L195="/",人员资源情况!$A$2,L195)))</f>
        <v/>
      </c>
      <c r="Q195" s="0">
        <f>IF(M195="/",人员资源情况!$B$2,任务计划表!M195)</f>
        <v/>
      </c>
      <c r="R195" s="0">
        <f>任务计划表!N195</f>
        <v/>
      </c>
      <c r="S195" s="0">
        <f>IF(O195=人员资源情况!C$2,1,0)</f>
        <v/>
      </c>
      <c r="T195" s="0">
        <f>IF(P195&gt;=人员资源情况!A$2,1,0)</f>
        <v/>
      </c>
      <c r="U195" s="0">
        <f>IF(Q195&lt;=人员资源情况!B$2,1,0)</f>
        <v/>
      </c>
      <c r="V195" s="0">
        <f>IF(T195*U195,Q195-P195,IF(T195&gt;U195,人员资源情况!B$2-P195,IF(T195&lt;U195,任务计划表!Q195-人员资源情况!A$2,0)))*R195*S195</f>
        <v/>
      </c>
      <c r="W195" s="0">
        <f>IF(V195&lt;0,0,V195)</f>
        <v/>
      </c>
    </row>
    <row r="196">
      <c r="E196" s="0" t="inlineStr">
        <is>
          <t>欧洲</t>
        </is>
      </c>
      <c r="F196" s="0" t="inlineStr">
        <is>
          <t>欧洲短款表</t>
        </is>
      </c>
      <c r="G196" s="0" t="inlineStr">
        <is>
          <t>2026-07-13</t>
        </is>
      </c>
      <c r="H196" s="0" t="inlineStr">
        <is>
          <t>2027-03-28</t>
        </is>
      </c>
      <c r="I196" s="0" t="inlineStr">
        <is>
          <t>TR4A</t>
        </is>
      </c>
      <c r="J196" s="0" t="inlineStr">
        <is>
          <t>内测/单元测试</t>
        </is>
      </c>
      <c r="K196" s="0" t="inlineStr">
        <is>
          <t>@童景顺(80004217)(童景顺)</t>
        </is>
      </c>
      <c r="L196" s="0" t="inlineStr">
        <is>
          <t>2026-09-12</t>
        </is>
      </c>
      <c r="M196" s="0" t="inlineStr">
        <is>
          <t>2026-09-18</t>
        </is>
      </c>
      <c r="N196" s="0" t="n">
        <v>3</v>
      </c>
      <c r="O196" s="0">
        <f>任务计划表!K196</f>
        <v/>
      </c>
      <c r="P196" s="0">
        <f>IF(IF(任务计划表!L196="/",人员资源情况!$A$2,L196)&gt;M196,M196,(IF(任务计划表!L196="/",人员资源情况!$A$2,L196)))</f>
        <v/>
      </c>
      <c r="Q196" s="0">
        <f>IF(M196="/",人员资源情况!$B$2,任务计划表!M196)</f>
        <v/>
      </c>
      <c r="R196" s="0">
        <f>任务计划表!N196</f>
        <v/>
      </c>
      <c r="S196" s="0">
        <f>IF(O196=人员资源情况!C$2,1,0)</f>
        <v/>
      </c>
      <c r="T196" s="0">
        <f>IF(P196&gt;=人员资源情况!A$2,1,0)</f>
        <v/>
      </c>
      <c r="U196" s="0">
        <f>IF(Q196&lt;=人员资源情况!B$2,1,0)</f>
        <v/>
      </c>
      <c r="V196" s="0">
        <f>IF(T196*U196,Q196-P196,IF(T196&gt;U196,人员资源情况!B$2-P196,IF(T196&lt;U196,任务计划表!Q196-人员资源情况!A$2,0)))*R196*S196</f>
        <v/>
      </c>
      <c r="W196" s="0">
        <f>IF(V196&lt;0,0,V196)</f>
        <v/>
      </c>
    </row>
    <row r="197">
      <c r="E197" s="0" t="inlineStr">
        <is>
          <t>欧洲</t>
        </is>
      </c>
      <c r="F197" s="0" t="inlineStr">
        <is>
          <t>欧洲短款表</t>
        </is>
      </c>
      <c r="G197" s="0" t="inlineStr">
        <is>
          <t>2026-07-13</t>
        </is>
      </c>
      <c r="H197" s="0" t="inlineStr">
        <is>
          <t>2027-03-28</t>
        </is>
      </c>
      <c r="I197" s="0" t="inlineStr">
        <is>
          <t>TR4A</t>
        </is>
      </c>
      <c r="J197" s="0" t="inlineStr">
        <is>
          <t>性能测试</t>
        </is>
      </c>
      <c r="K197" s="0" t="inlineStr">
        <is>
          <t xml:space="preserve"> @贾峰</t>
        </is>
      </c>
      <c r="L197" s="0" t="inlineStr">
        <is>
          <t>2026-09-13</t>
        </is>
      </c>
      <c r="M197" s="0" t="inlineStr">
        <is>
          <t>2026-09-27</t>
        </is>
      </c>
      <c r="N197" s="0" t="n">
        <v>8</v>
      </c>
      <c r="O197" s="0">
        <f>任务计划表!K197</f>
        <v/>
      </c>
      <c r="P197" s="0">
        <f>IF(IF(任务计划表!L197="/",人员资源情况!$A$2,L197)&gt;M197,M197,(IF(任务计划表!L197="/",人员资源情况!$A$2,L197)))</f>
        <v/>
      </c>
      <c r="Q197" s="0">
        <f>IF(M197="/",人员资源情况!$B$2,任务计划表!M197)</f>
        <v/>
      </c>
      <c r="R197" s="0">
        <f>任务计划表!N197</f>
        <v/>
      </c>
      <c r="S197" s="0">
        <f>IF(O197=人员资源情况!C$2,1,0)</f>
        <v/>
      </c>
      <c r="T197" s="0">
        <f>IF(P197&gt;=人员资源情况!A$2,1,0)</f>
        <v/>
      </c>
      <c r="U197" s="0">
        <f>IF(Q197&lt;=人员资源情况!B$2,1,0)</f>
        <v/>
      </c>
      <c r="V197" s="0">
        <f>IF(T197*U197,Q197-P197,IF(T197&gt;U197,人员资源情况!B$2-P197,IF(T197&lt;U197,任务计划表!Q197-人员资源情况!A$2,0)))*R197*S197</f>
        <v/>
      </c>
      <c r="W197" s="0">
        <f>IF(V197&lt;0,0,V197)</f>
        <v/>
      </c>
    </row>
    <row r="198">
      <c r="E198" s="0" t="inlineStr">
        <is>
          <t>欧洲</t>
        </is>
      </c>
      <c r="F198" s="0" t="inlineStr">
        <is>
          <t>欧洲短款表</t>
        </is>
      </c>
      <c r="G198" s="0" t="inlineStr">
        <is>
          <t>2026-07-13</t>
        </is>
      </c>
      <c r="H198" s="0" t="inlineStr">
        <is>
          <t>2027-03-28</t>
        </is>
      </c>
      <c r="I198" s="0" t="inlineStr">
        <is>
          <t>TR4A</t>
        </is>
      </c>
      <c r="J198" s="0" t="inlineStr">
        <is>
          <t>委外测试</t>
        </is>
      </c>
      <c r="K198" s="0" t="inlineStr">
        <is>
          <t>@袁知正</t>
        </is>
      </c>
      <c r="L198" s="0" t="inlineStr">
        <is>
          <t>2026-09-14</t>
        </is>
      </c>
      <c r="M198" s="0" t="inlineStr">
        <is>
          <t>2026-09-14</t>
        </is>
      </c>
      <c r="N198" s="0" t="n">
        <v>4</v>
      </c>
      <c r="O198" s="0">
        <f>任务计划表!K198</f>
        <v/>
      </c>
      <c r="P198" s="0">
        <f>IF(IF(任务计划表!L198="/",人员资源情况!$A$2,L198)&gt;M198,M198,(IF(任务计划表!L198="/",人员资源情况!$A$2,L198)))</f>
        <v/>
      </c>
      <c r="Q198" s="0">
        <f>IF(M198="/",人员资源情况!$B$2,任务计划表!M198)</f>
        <v/>
      </c>
      <c r="R198" s="0">
        <f>任务计划表!N198</f>
        <v/>
      </c>
      <c r="S198" s="0">
        <f>IF(O198=人员资源情况!C$2,1,0)</f>
        <v/>
      </c>
      <c r="T198" s="0">
        <f>IF(P198&gt;=人员资源情况!A$2,1,0)</f>
        <v/>
      </c>
      <c r="U198" s="0">
        <f>IF(Q198&lt;=人员资源情况!B$2,1,0)</f>
        <v/>
      </c>
      <c r="V198" s="0">
        <f>IF(T198*U198,Q198-P198,IF(T198&gt;U198,人员资源情况!B$2-P198,IF(T198&lt;U198,任务计划表!Q198-人员资源情况!A$2,0)))*R198*S198</f>
        <v/>
      </c>
      <c r="W198" s="0">
        <f>IF(V198&lt;0,0,V198)</f>
        <v/>
      </c>
    </row>
    <row r="199">
      <c r="E199" s="0" t="inlineStr">
        <is>
          <t>欧洲</t>
        </is>
      </c>
      <c r="F199" s="0" t="inlineStr">
        <is>
          <t>欧洲短款表</t>
        </is>
      </c>
      <c r="G199" s="0" t="inlineStr">
        <is>
          <t>2026-07-13</t>
        </is>
      </c>
      <c r="H199" s="0" t="inlineStr">
        <is>
          <t>2027-03-28</t>
        </is>
      </c>
      <c r="I199" s="0" t="inlineStr">
        <is>
          <t>TR4A</t>
        </is>
      </c>
      <c r="J199" s="0" t="inlineStr">
        <is>
          <t>功能测试</t>
        </is>
      </c>
      <c r="K199" s="0" t="inlineStr">
        <is>
          <t>@袁知正</t>
        </is>
      </c>
      <c r="L199" s="0" t="inlineStr">
        <is>
          <t>2026-09-13</t>
        </is>
      </c>
      <c r="M199" s="0" t="inlineStr">
        <is>
          <t>2026-09-27</t>
        </is>
      </c>
      <c r="N199" s="0" t="n">
        <v>8</v>
      </c>
      <c r="O199" s="0">
        <f>任务计划表!K199</f>
        <v/>
      </c>
      <c r="P199" s="0">
        <f>IF(IF(任务计划表!L199="/",人员资源情况!$A$2,L199)&gt;M199,M199,(IF(任务计划表!L199="/",人员资源情况!$A$2,L199)))</f>
        <v/>
      </c>
      <c r="Q199" s="0">
        <f>IF(M199="/",人员资源情况!$B$2,任务计划表!M199)</f>
        <v/>
      </c>
      <c r="R199" s="0">
        <f>任务计划表!N199</f>
        <v/>
      </c>
      <c r="S199" s="0">
        <f>IF(O199=人员资源情况!C$2,1,0)</f>
        <v/>
      </c>
      <c r="T199" s="0">
        <f>IF(P199&gt;=人员资源情况!A$2,1,0)</f>
        <v/>
      </c>
      <c r="U199" s="0">
        <f>IF(Q199&lt;=人员资源情况!B$2,1,0)</f>
        <v/>
      </c>
      <c r="V199" s="0">
        <f>IF(T199*U199,Q199-P199,IF(T199&gt;U199,人员资源情况!B$2-P199,IF(T199&lt;U199,任务计划表!Q199-人员资源情况!A$2,0)))*R199*S199</f>
        <v/>
      </c>
      <c r="W199" s="0">
        <f>IF(V199&lt;0,0,V199)</f>
        <v/>
      </c>
    </row>
    <row r="200">
      <c r="E200" s="0" t="inlineStr">
        <is>
          <t>欧洲</t>
        </is>
      </c>
      <c r="F200" s="0" t="inlineStr">
        <is>
          <t>欧洲短款表</t>
        </is>
      </c>
      <c r="G200" s="0" t="inlineStr">
        <is>
          <t>2026-07-13</t>
        </is>
      </c>
      <c r="H200" s="0" t="inlineStr">
        <is>
          <t>2027-03-28</t>
        </is>
      </c>
      <c r="I200" s="0" t="inlineStr">
        <is>
          <t>TR4A</t>
        </is>
      </c>
      <c r="J200" s="0" t="inlineStr">
        <is>
          <t>硬件测试问题修改</t>
        </is>
      </c>
      <c r="K200" s="0" t="inlineStr">
        <is>
          <t>@童景顺(80004217)(童景顺)</t>
        </is>
      </c>
      <c r="L200" s="0" t="inlineStr">
        <is>
          <t>2026-09-28</t>
        </is>
      </c>
      <c r="M200" s="0" t="inlineStr">
        <is>
          <t>2026-09-28</t>
        </is>
      </c>
      <c r="N200" s="0" t="n">
        <v>4</v>
      </c>
      <c r="O200" s="0">
        <f>任务计划表!K200</f>
        <v/>
      </c>
      <c r="P200" s="0">
        <f>IF(IF(任务计划表!L200="/",人员资源情况!$A$2,L200)&gt;M200,M200,(IF(任务计划表!L200="/",人员资源情况!$A$2,L200)))</f>
        <v/>
      </c>
      <c r="Q200" s="0">
        <f>IF(M200="/",人员资源情况!$B$2,任务计划表!M200)</f>
        <v/>
      </c>
      <c r="R200" s="0">
        <f>任务计划表!N200</f>
        <v/>
      </c>
      <c r="S200" s="0">
        <f>IF(O200=人员资源情况!C$2,1,0)</f>
        <v/>
      </c>
      <c r="T200" s="0">
        <f>IF(P200&gt;=人员资源情况!A$2,1,0)</f>
        <v/>
      </c>
      <c r="U200" s="0">
        <f>IF(Q200&lt;=人员资源情况!B$2,1,0)</f>
        <v/>
      </c>
      <c r="V200" s="0">
        <f>IF(T200*U200,Q200-P200,IF(T200&gt;U200,人员资源情况!B$2-P200,IF(T200&lt;U200,任务计划表!Q200-人员资源情况!A$2,0)))*R200*S200</f>
        <v/>
      </c>
      <c r="W200" s="0">
        <f>IF(V200&lt;0,0,V200)</f>
        <v/>
      </c>
    </row>
    <row r="201">
      <c r="E201" s="0" t="inlineStr">
        <is>
          <t>欧洲</t>
        </is>
      </c>
      <c r="F201" s="0" t="inlineStr">
        <is>
          <t>欧洲短款表</t>
        </is>
      </c>
      <c r="G201" s="0" t="inlineStr">
        <is>
          <t>2026-07-13</t>
        </is>
      </c>
      <c r="H201" s="0" t="inlineStr">
        <is>
          <t>2027-03-28</t>
        </is>
      </c>
      <c r="I201" s="0" t="inlineStr">
        <is>
          <t>TR4A</t>
        </is>
      </c>
      <c r="J201" s="0" t="inlineStr">
        <is>
          <t>结构测试问题修改</t>
        </is>
      </c>
      <c r="K201" s="0" t="inlineStr">
        <is>
          <t>@罗穗安</t>
        </is>
      </c>
      <c r="L201" s="0" t="inlineStr">
        <is>
          <t>2026-09-28</t>
        </is>
      </c>
      <c r="M201" s="0" t="inlineStr">
        <is>
          <t>2026-09-28</t>
        </is>
      </c>
      <c r="N201" s="0" t="n">
        <v>4</v>
      </c>
      <c r="O201" s="0">
        <f>任务计划表!K201</f>
        <v/>
      </c>
      <c r="P201" s="0">
        <f>IF(IF(任务计划表!L201="/",人员资源情况!$A$2,L201)&gt;M201,M201,(IF(任务计划表!L201="/",人员资源情况!$A$2,L201)))</f>
        <v/>
      </c>
      <c r="Q201" s="0">
        <f>IF(M201="/",人员资源情况!$B$2,任务计划表!M201)</f>
        <v/>
      </c>
      <c r="R201" s="0">
        <f>任务计划表!N201</f>
        <v/>
      </c>
      <c r="S201" s="0">
        <f>IF(O201=人员资源情况!C$2,1,0)</f>
        <v/>
      </c>
      <c r="T201" s="0">
        <f>IF(P201&gt;=人员资源情况!A$2,1,0)</f>
        <v/>
      </c>
      <c r="U201" s="0">
        <f>IF(Q201&lt;=人员资源情况!B$2,1,0)</f>
        <v/>
      </c>
      <c r="V201" s="0">
        <f>IF(T201*U201,Q201-P201,IF(T201&gt;U201,人员资源情况!B$2-P201,IF(T201&lt;U201,任务计划表!Q201-人员资源情况!A$2,0)))*R201*S201</f>
        <v/>
      </c>
      <c r="W201" s="0">
        <f>IF(V201&lt;0,0,V201)</f>
        <v/>
      </c>
    </row>
    <row r="202">
      <c r="E202" s="0" t="inlineStr">
        <is>
          <t>欧洲</t>
        </is>
      </c>
      <c r="F202" s="0" t="inlineStr">
        <is>
          <t>欧洲短款表</t>
        </is>
      </c>
      <c r="G202" s="0" t="inlineStr">
        <is>
          <t>2026-07-13</t>
        </is>
      </c>
      <c r="H202" s="0" t="inlineStr">
        <is>
          <t>2027-03-28</t>
        </is>
      </c>
      <c r="I202" s="0" t="inlineStr">
        <is>
          <t>TR4A</t>
        </is>
      </c>
      <c r="J202" s="0" t="inlineStr">
        <is>
          <t>固件测试问题修改</t>
        </is>
      </c>
      <c r="K202" s="0" t="inlineStr">
        <is>
          <t>@袁琮欣(80015786)(袁琮欣)</t>
        </is>
      </c>
      <c r="L202" s="0" t="inlineStr">
        <is>
          <t>2026-09-28</t>
        </is>
      </c>
      <c r="M202" s="0" t="inlineStr">
        <is>
          <t>2026-09-28</t>
        </is>
      </c>
      <c r="N202" s="0" t="n">
        <v>4</v>
      </c>
      <c r="O202" s="0">
        <f>任务计划表!K202</f>
        <v/>
      </c>
      <c r="P202" s="0">
        <f>IF(IF(任务计划表!L202="/",人员资源情况!$A$2,L202)&gt;M202,M202,(IF(任务计划表!L202="/",人员资源情况!$A$2,L202)))</f>
        <v/>
      </c>
      <c r="Q202" s="0">
        <f>IF(M202="/",人员资源情况!$B$2,任务计划表!M202)</f>
        <v/>
      </c>
      <c r="R202" s="0">
        <f>任务计划表!N202</f>
        <v/>
      </c>
      <c r="S202" s="0">
        <f>IF(O202=人员资源情况!C$2,1,0)</f>
        <v/>
      </c>
      <c r="T202" s="0">
        <f>IF(P202&gt;=人员资源情况!A$2,1,0)</f>
        <v/>
      </c>
      <c r="U202" s="0">
        <f>IF(Q202&lt;=人员资源情况!B$2,1,0)</f>
        <v/>
      </c>
      <c r="V202" s="0">
        <f>IF(T202*U202,Q202-P202,IF(T202&gt;U202,人员资源情况!B$2-P202,IF(T202&lt;U202,任务计划表!Q202-人员资源情况!A$2,0)))*R202*S202</f>
        <v/>
      </c>
      <c r="W202" s="0">
        <f>IF(V202&lt;0,0,V202)</f>
        <v/>
      </c>
    </row>
    <row r="203">
      <c r="E203" s="0" t="inlineStr">
        <is>
          <t>欧洲</t>
        </is>
      </c>
      <c r="F203" s="0" t="inlineStr">
        <is>
          <t>欧洲短款表</t>
        </is>
      </c>
      <c r="G203" s="0" t="inlineStr">
        <is>
          <t>2026-07-13</t>
        </is>
      </c>
      <c r="H203" s="0" t="inlineStr">
        <is>
          <t>2027-03-28</t>
        </is>
      </c>
      <c r="I203" s="0" t="inlineStr">
        <is>
          <t>TR4A</t>
        </is>
      </c>
      <c r="J203" s="0" t="inlineStr">
        <is>
          <t>乌拉圭样机输出</t>
        </is>
      </c>
      <c r="K203" s="0" t="inlineStr">
        <is>
          <t>@童景顺(80004217)(童景顺)</t>
        </is>
      </c>
      <c r="L203" s="0" t="inlineStr">
        <is>
          <t>2026-09-30</t>
        </is>
      </c>
      <c r="M203" s="0" t="inlineStr">
        <is>
          <t>2026-09-30</t>
        </is>
      </c>
      <c r="N203" s="0" t="n">
        <v>1</v>
      </c>
      <c r="O203" s="0">
        <f>任务计划表!K203</f>
        <v/>
      </c>
      <c r="P203" s="0">
        <f>IF(IF(任务计划表!L203="/",人员资源情况!$A$2,L203)&gt;M203,M203,(IF(任务计划表!L203="/",人员资源情况!$A$2,L203)))</f>
        <v/>
      </c>
      <c r="Q203" s="0">
        <f>IF(M203="/",人员资源情况!$B$2,任务计划表!M203)</f>
        <v/>
      </c>
      <c r="R203" s="0">
        <f>任务计划表!N203</f>
        <v/>
      </c>
      <c r="S203" s="0">
        <f>IF(O203=人员资源情况!C$2,1,0)</f>
        <v/>
      </c>
      <c r="T203" s="0">
        <f>IF(P203&gt;=人员资源情况!A$2,1,0)</f>
        <v/>
      </c>
      <c r="U203" s="0">
        <f>IF(Q203&lt;=人员资源情况!B$2,1,0)</f>
        <v/>
      </c>
      <c r="V203" s="0">
        <f>IF(T203*U203,Q203-P203,IF(T203&gt;U203,人员资源情况!B$2-P203,IF(T203&lt;U203,任务计划表!Q203-人员资源情况!A$2,0)))*R203*S203</f>
        <v/>
      </c>
      <c r="W203" s="0">
        <f>IF(V203&lt;0,0,V203)</f>
        <v/>
      </c>
    </row>
    <row r="204">
      <c r="E204" s="0" t="inlineStr">
        <is>
          <t>欧洲</t>
        </is>
      </c>
      <c r="F204" s="0" t="inlineStr">
        <is>
          <t>欧洲短款表</t>
        </is>
      </c>
      <c r="G204" s="0" t="inlineStr">
        <is>
          <t>2026-07-13</t>
        </is>
      </c>
      <c r="H204" s="0" t="inlineStr">
        <is>
          <t>2027-03-28</t>
        </is>
      </c>
      <c r="I204" s="0" t="inlineStr">
        <is>
          <t>TR4A</t>
        </is>
      </c>
      <c r="J204" s="0" t="inlineStr">
        <is>
          <t>性能测试</t>
        </is>
      </c>
      <c r="K204" s="0" t="inlineStr">
        <is>
          <t>@贾峰</t>
        </is>
      </c>
      <c r="L204" s="0" t="inlineStr">
        <is>
          <t>2026-09-30</t>
        </is>
      </c>
      <c r="M204" s="0" t="inlineStr">
        <is>
          <t>2026-10-14</t>
        </is>
      </c>
      <c r="N204" s="0" t="n">
        <v>8</v>
      </c>
      <c r="O204" s="0">
        <f>任务计划表!K204</f>
        <v/>
      </c>
      <c r="P204" s="0">
        <f>IF(IF(任务计划表!L204="/",人员资源情况!$A$2,L204)&gt;M204,M204,(IF(任务计划表!L204="/",人员资源情况!$A$2,L204)))</f>
        <v/>
      </c>
      <c r="Q204" s="0">
        <f>IF(M204="/",人员资源情况!$B$2,任务计划表!M204)</f>
        <v/>
      </c>
      <c r="R204" s="0">
        <f>任务计划表!N204</f>
        <v/>
      </c>
      <c r="S204" s="0">
        <f>IF(O204=人员资源情况!C$2,1,0)</f>
        <v/>
      </c>
      <c r="T204" s="0">
        <f>IF(P204&gt;=人员资源情况!A$2,1,0)</f>
        <v/>
      </c>
      <c r="U204" s="0">
        <f>IF(Q204&lt;=人员资源情况!B$2,1,0)</f>
        <v/>
      </c>
      <c r="V204" s="0">
        <f>IF(T204*U204,Q204-P204,IF(T204&gt;U204,人员资源情况!B$2-P204,IF(T204&lt;U204,任务计划表!Q204-人员资源情况!A$2,0)))*R204*S204</f>
        <v/>
      </c>
      <c r="W204" s="0">
        <f>IF(V204&lt;0,0,V204)</f>
        <v/>
      </c>
    </row>
    <row r="205">
      <c r="E205" s="0" t="inlineStr">
        <is>
          <t>欧洲</t>
        </is>
      </c>
      <c r="F205" s="0" t="inlineStr">
        <is>
          <t>欧洲短款表</t>
        </is>
      </c>
      <c r="G205" s="0" t="inlineStr">
        <is>
          <t>2026-07-13</t>
        </is>
      </c>
      <c r="H205" s="0" t="inlineStr">
        <is>
          <t>2027-03-28</t>
        </is>
      </c>
      <c r="I205" s="0" t="inlineStr">
        <is>
          <t>TR4A</t>
        </is>
      </c>
      <c r="J205" s="0" t="inlineStr">
        <is>
          <t>委外测试</t>
        </is>
      </c>
      <c r="K205" s="0" t="inlineStr">
        <is>
          <t>@袁知正</t>
        </is>
      </c>
      <c r="L205" s="0" t="inlineStr">
        <is>
          <t>2026-10-01</t>
        </is>
      </c>
      <c r="M205" s="0" t="inlineStr">
        <is>
          <t>2026-10-01</t>
        </is>
      </c>
      <c r="N205" s="0" t="n">
        <v>4</v>
      </c>
      <c r="O205" s="0">
        <f>任务计划表!K205</f>
        <v/>
      </c>
      <c r="P205" s="0">
        <f>IF(IF(任务计划表!L205="/",人员资源情况!$A$2,L205)&gt;M205,M205,(IF(任务计划表!L205="/",人员资源情况!$A$2,L205)))</f>
        <v/>
      </c>
      <c r="Q205" s="0">
        <f>IF(M205="/",人员资源情况!$B$2,任务计划表!M205)</f>
        <v/>
      </c>
      <c r="R205" s="0">
        <f>任务计划表!N205</f>
        <v/>
      </c>
      <c r="S205" s="0">
        <f>IF(O205=人员资源情况!C$2,1,0)</f>
        <v/>
      </c>
      <c r="T205" s="0">
        <f>IF(P205&gt;=人员资源情况!A$2,1,0)</f>
        <v/>
      </c>
      <c r="U205" s="0">
        <f>IF(Q205&lt;=人员资源情况!B$2,1,0)</f>
        <v/>
      </c>
      <c r="V205" s="0">
        <f>IF(T205*U205,Q205-P205,IF(T205&gt;U205,人员资源情况!B$2-P205,IF(T205&lt;U205,任务计划表!Q205-人员资源情况!A$2,0)))*R205*S205</f>
        <v/>
      </c>
      <c r="W205" s="0">
        <f>IF(V205&lt;0,0,V205)</f>
        <v/>
      </c>
    </row>
    <row r="206">
      <c r="E206" s="0" t="inlineStr">
        <is>
          <t>欧洲</t>
        </is>
      </c>
      <c r="F206" s="0" t="inlineStr">
        <is>
          <t>欧洲短款表</t>
        </is>
      </c>
      <c r="G206" s="0" t="inlineStr">
        <is>
          <t>2026-07-13</t>
        </is>
      </c>
      <c r="H206" s="0" t="inlineStr">
        <is>
          <t>2027-03-28</t>
        </is>
      </c>
      <c r="I206" s="0" t="inlineStr">
        <is>
          <t>TR4A</t>
        </is>
      </c>
      <c r="J206" s="0" t="inlineStr">
        <is>
          <t>功能测试</t>
        </is>
      </c>
      <c r="K206" s="0" t="inlineStr">
        <is>
          <t>@袁知正</t>
        </is>
      </c>
      <c r="L206" s="0" t="inlineStr">
        <is>
          <t>2026-09-30</t>
        </is>
      </c>
      <c r="M206" s="0" t="inlineStr">
        <is>
          <t>2026-10-14</t>
        </is>
      </c>
      <c r="N206" s="0" t="n">
        <v>8</v>
      </c>
      <c r="O206" s="0">
        <f>任务计划表!K206</f>
        <v/>
      </c>
      <c r="P206" s="0">
        <f>IF(IF(任务计划表!L206="/",人员资源情况!$A$2,L206)&gt;M206,M206,(IF(任务计划表!L206="/",人员资源情况!$A$2,L206)))</f>
        <v/>
      </c>
      <c r="Q206" s="0">
        <f>IF(M206="/",人员资源情况!$B$2,任务计划表!M206)</f>
        <v/>
      </c>
      <c r="R206" s="0">
        <f>任务计划表!N206</f>
        <v/>
      </c>
      <c r="S206" s="0">
        <f>IF(O206=人员资源情况!C$2,1,0)</f>
        <v/>
      </c>
      <c r="T206" s="0">
        <f>IF(P206&gt;=人员资源情况!A$2,1,0)</f>
        <v/>
      </c>
      <c r="U206" s="0">
        <f>IF(Q206&lt;=人员资源情况!B$2,1,0)</f>
        <v/>
      </c>
      <c r="V206" s="0">
        <f>IF(T206*U206,Q206-P206,IF(T206&gt;U206,人员资源情况!B$2-P206,IF(T206&lt;U206,任务计划表!Q206-人员资源情况!A$2,0)))*R206*S206</f>
        <v/>
      </c>
      <c r="W206" s="0">
        <f>IF(V206&lt;0,0,V206)</f>
        <v/>
      </c>
    </row>
    <row r="207">
      <c r="E207" s="0" t="inlineStr">
        <is>
          <t>欧洲</t>
        </is>
      </c>
      <c r="F207" s="0" t="inlineStr">
        <is>
          <t>欧洲短款表</t>
        </is>
      </c>
      <c r="G207" s="0" t="inlineStr">
        <is>
          <t>2026-07-13</t>
        </is>
      </c>
      <c r="H207" s="0" t="inlineStr">
        <is>
          <t>2027-03-28</t>
        </is>
      </c>
      <c r="I207" s="0" t="inlineStr">
        <is>
          <t>TR4A</t>
        </is>
      </c>
      <c r="J207" s="0" t="inlineStr">
        <is>
          <t>硬件测试问题修改</t>
        </is>
      </c>
      <c r="K207" s="0" t="inlineStr">
        <is>
          <t>@童景顺(80004217)(童景顺)</t>
        </is>
      </c>
      <c r="L207" s="0" t="inlineStr">
        <is>
          <t>2026-10-15</t>
        </is>
      </c>
      <c r="M207" s="0" t="inlineStr">
        <is>
          <t>2026-10-15</t>
        </is>
      </c>
      <c r="N207" s="0" t="n">
        <v>4</v>
      </c>
      <c r="O207" s="0">
        <f>任务计划表!K207</f>
        <v/>
      </c>
      <c r="P207" s="0">
        <f>IF(IF(任务计划表!L207="/",人员资源情况!$A$2,L207)&gt;M207,M207,(IF(任务计划表!L207="/",人员资源情况!$A$2,L207)))</f>
        <v/>
      </c>
      <c r="Q207" s="0">
        <f>IF(M207="/",人员资源情况!$B$2,任务计划表!M207)</f>
        <v/>
      </c>
      <c r="R207" s="0">
        <f>任务计划表!N207</f>
        <v/>
      </c>
      <c r="S207" s="0">
        <f>IF(O207=人员资源情况!C$2,1,0)</f>
        <v/>
      </c>
      <c r="T207" s="0">
        <f>IF(P207&gt;=人员资源情况!A$2,1,0)</f>
        <v/>
      </c>
      <c r="U207" s="0">
        <f>IF(Q207&lt;=人员资源情况!B$2,1,0)</f>
        <v/>
      </c>
      <c r="V207" s="0">
        <f>IF(T207*U207,Q207-P207,IF(T207&gt;U207,人员资源情况!B$2-P207,IF(T207&lt;U207,任务计划表!Q207-人员资源情况!A$2,0)))*R207*S207</f>
        <v/>
      </c>
      <c r="W207" s="0">
        <f>IF(V207&lt;0,0,V207)</f>
        <v/>
      </c>
    </row>
    <row r="208">
      <c r="E208" s="0" t="inlineStr">
        <is>
          <t>欧洲</t>
        </is>
      </c>
      <c r="F208" s="0" t="inlineStr">
        <is>
          <t>欧洲短款表</t>
        </is>
      </c>
      <c r="G208" s="0" t="inlineStr">
        <is>
          <t>2026-07-13</t>
        </is>
      </c>
      <c r="H208" s="0" t="inlineStr">
        <is>
          <t>2027-03-28</t>
        </is>
      </c>
      <c r="I208" s="0" t="inlineStr">
        <is>
          <t>TR4A</t>
        </is>
      </c>
      <c r="J208" s="0" t="inlineStr">
        <is>
          <t>结构测试问题修改</t>
        </is>
      </c>
      <c r="K208" s="0" t="inlineStr">
        <is>
          <t>@罗穗安</t>
        </is>
      </c>
      <c r="L208" s="0" t="inlineStr">
        <is>
          <t>2026-10-15</t>
        </is>
      </c>
      <c r="M208" s="0" t="inlineStr">
        <is>
          <t>2026-10-15</t>
        </is>
      </c>
      <c r="N208" s="0" t="n">
        <v>4</v>
      </c>
      <c r="O208" s="0">
        <f>任务计划表!K208</f>
        <v/>
      </c>
      <c r="P208" s="0">
        <f>IF(IF(任务计划表!L208="/",人员资源情况!$A$2,L208)&gt;M208,M208,(IF(任务计划表!L208="/",人员资源情况!$A$2,L208)))</f>
        <v/>
      </c>
      <c r="Q208" s="0">
        <f>IF(M208="/",人员资源情况!$B$2,任务计划表!M208)</f>
        <v/>
      </c>
      <c r="R208" s="0">
        <f>任务计划表!N208</f>
        <v/>
      </c>
      <c r="S208" s="0">
        <f>IF(O208=人员资源情况!C$2,1,0)</f>
        <v/>
      </c>
      <c r="T208" s="0">
        <f>IF(P208&gt;=人员资源情况!A$2,1,0)</f>
        <v/>
      </c>
      <c r="U208" s="0">
        <f>IF(Q208&lt;=人员资源情况!B$2,1,0)</f>
        <v/>
      </c>
      <c r="V208" s="0">
        <f>IF(T208*U208,Q208-P208,IF(T208&gt;U208,人员资源情况!B$2-P208,IF(T208&lt;U208,任务计划表!Q208-人员资源情况!A$2,0)))*R208*S208</f>
        <v/>
      </c>
      <c r="W208" s="0">
        <f>IF(V208&lt;0,0,V208)</f>
        <v/>
      </c>
    </row>
    <row r="209">
      <c r="E209" s="0" t="inlineStr">
        <is>
          <t>欧洲</t>
        </is>
      </c>
      <c r="F209" s="0" t="inlineStr">
        <is>
          <t>欧洲短款表</t>
        </is>
      </c>
      <c r="G209" s="0" t="inlineStr">
        <is>
          <t>2026-07-13</t>
        </is>
      </c>
      <c r="H209" s="0" t="inlineStr">
        <is>
          <t>2027-03-28</t>
        </is>
      </c>
      <c r="I209" s="0" t="inlineStr">
        <is>
          <t>TR4A</t>
        </is>
      </c>
      <c r="J209" s="0" t="inlineStr">
        <is>
          <t>固件测试问题修改</t>
        </is>
      </c>
      <c r="K209" s="0" t="inlineStr">
        <is>
          <t>@袁琮欣(80015786)(袁琮欣)</t>
        </is>
      </c>
      <c r="L209" s="0" t="inlineStr">
        <is>
          <t>2026-10-15</t>
        </is>
      </c>
      <c r="M209" s="0" t="inlineStr">
        <is>
          <t>2026-10-15</t>
        </is>
      </c>
      <c r="N209" s="0" t="n">
        <v>4</v>
      </c>
      <c r="O209" s="0">
        <f>任务计划表!K209</f>
        <v/>
      </c>
      <c r="P209" s="0">
        <f>IF(IF(任务计划表!L209="/",人员资源情况!$A$2,L209)&gt;M209,M209,(IF(任务计划表!L209="/",人员资源情况!$A$2,L209)))</f>
        <v/>
      </c>
      <c r="Q209" s="0">
        <f>IF(M209="/",人员资源情况!$B$2,任务计划表!M209)</f>
        <v/>
      </c>
      <c r="R209" s="0">
        <f>任务计划表!N209</f>
        <v/>
      </c>
      <c r="S209" s="0">
        <f>IF(O209=人员资源情况!C$2,1,0)</f>
        <v/>
      </c>
      <c r="T209" s="0">
        <f>IF(P209&gt;=人员资源情况!A$2,1,0)</f>
        <v/>
      </c>
      <c r="U209" s="0">
        <f>IF(Q209&lt;=人员资源情况!B$2,1,0)</f>
        <v/>
      </c>
      <c r="V209" s="0">
        <f>IF(T209*U209,Q209-P209,IF(T209&gt;U209,人员资源情况!B$2-P209,IF(T209&lt;U209,任务计划表!Q209-人员资源情况!A$2,0)))*R209*S209</f>
        <v/>
      </c>
      <c r="W209" s="0">
        <f>IF(V209&lt;0,0,V209)</f>
        <v/>
      </c>
    </row>
    <row r="210">
      <c r="E210" s="0" t="inlineStr">
        <is>
          <t>欧洲</t>
        </is>
      </c>
      <c r="F210" s="0" t="inlineStr">
        <is>
          <t>欧洲短款表</t>
        </is>
      </c>
      <c r="G210" s="0" t="inlineStr">
        <is>
          <t>2026-07-13</t>
        </is>
      </c>
      <c r="H210" s="0" t="inlineStr">
        <is>
          <t>2027-03-28</t>
        </is>
      </c>
      <c r="I210" s="0" t="inlineStr">
        <is>
          <t>TR5</t>
        </is>
      </c>
      <c r="J210" s="0" t="inlineStr">
        <is>
          <t>DVT下单</t>
        </is>
      </c>
      <c r="K210" s="0" t="inlineStr">
        <is>
          <t>@韩燕飞</t>
        </is>
      </c>
      <c r="L210" s="0" t="inlineStr">
        <is>
          <t>2026-10-17</t>
        </is>
      </c>
      <c r="M210" s="0" t="inlineStr">
        <is>
          <t>2026-10-17</t>
        </is>
      </c>
      <c r="N210" s="0" t="n">
        <v>1</v>
      </c>
      <c r="O210" s="0">
        <f>任务计划表!K210</f>
        <v/>
      </c>
      <c r="P210" s="0">
        <f>IF(IF(任务计划表!L210="/",人员资源情况!$A$2,L210)&gt;M210,M210,(IF(任务计划表!L210="/",人员资源情况!$A$2,L210)))</f>
        <v/>
      </c>
      <c r="Q210" s="0">
        <f>IF(M210="/",人员资源情况!$B$2,任务计划表!M210)</f>
        <v/>
      </c>
      <c r="R210" s="0">
        <f>任务计划表!N210</f>
        <v/>
      </c>
      <c r="S210" s="0">
        <f>IF(O210=人员资源情况!C$2,1,0)</f>
        <v/>
      </c>
      <c r="T210" s="0">
        <f>IF(P210&gt;=人员资源情况!A$2,1,0)</f>
        <v/>
      </c>
      <c r="U210" s="0">
        <f>IF(Q210&lt;=人员资源情况!B$2,1,0)</f>
        <v/>
      </c>
      <c r="V210" s="0">
        <f>IF(T210*U210,Q210-P210,IF(T210&gt;U210,人员资源情况!B$2-P210,IF(T210&lt;U210,任务计划表!Q210-人员资源情况!A$2,0)))*R210*S210</f>
        <v/>
      </c>
      <c r="W210" s="0">
        <f>IF(V210&lt;0,0,V210)</f>
        <v/>
      </c>
    </row>
    <row r="211">
      <c r="E211" s="0" t="inlineStr">
        <is>
          <t>欧洲</t>
        </is>
      </c>
      <c r="F211" s="0" t="inlineStr">
        <is>
          <t>欧洲短款表</t>
        </is>
      </c>
      <c r="G211" s="0" t="inlineStr">
        <is>
          <t>2026-07-13</t>
        </is>
      </c>
      <c r="H211" s="0" t="inlineStr">
        <is>
          <t>2027-03-28</t>
        </is>
      </c>
      <c r="I211" s="0" t="inlineStr">
        <is>
          <t>TR5</t>
        </is>
      </c>
      <c r="J211" s="0" t="inlineStr">
        <is>
          <t>DVT-BOM归档</t>
        </is>
      </c>
      <c r="K211" s="0" t="inlineStr">
        <is>
          <t>@童景顺(80004217)(童景顺)</t>
        </is>
      </c>
      <c r="L211" s="0" t="inlineStr">
        <is>
          <t>2026-10-18</t>
        </is>
      </c>
      <c r="M211" s="0" t="inlineStr">
        <is>
          <t>2026-10-18</t>
        </is>
      </c>
      <c r="N211" s="0" t="n">
        <v>1</v>
      </c>
      <c r="O211" s="0">
        <f>任务计划表!K211</f>
        <v/>
      </c>
      <c r="P211" s="0">
        <f>IF(IF(任务计划表!L211="/",人员资源情况!$A$2,L211)&gt;M211,M211,(IF(任务计划表!L211="/",人员资源情况!$A$2,L211)))</f>
        <v/>
      </c>
      <c r="Q211" s="0">
        <f>IF(M211="/",人员资源情况!$B$2,任务计划表!M211)</f>
        <v/>
      </c>
      <c r="R211" s="0">
        <f>任务计划表!N211</f>
        <v/>
      </c>
      <c r="S211" s="0">
        <f>IF(O211=人员资源情况!C$2,1,0)</f>
        <v/>
      </c>
      <c r="T211" s="0">
        <f>IF(P211&gt;=人员资源情况!A$2,1,0)</f>
        <v/>
      </c>
      <c r="U211" s="0">
        <f>IF(Q211&lt;=人员资源情况!B$2,1,0)</f>
        <v/>
      </c>
      <c r="V211" s="0">
        <f>IF(T211*U211,Q211-P211,IF(T211&gt;U211,人员资源情况!B$2-P211,IF(T211&lt;U211,任务计划表!Q211-人员资源情况!A$2,0)))*R211*S211</f>
        <v/>
      </c>
      <c r="W211" s="0">
        <f>IF(V211&lt;0,0,V211)</f>
        <v/>
      </c>
    </row>
    <row r="212">
      <c r="E212" s="0" t="inlineStr">
        <is>
          <t>欧洲</t>
        </is>
      </c>
      <c r="F212" s="0" t="inlineStr">
        <is>
          <t>欧洲短款表</t>
        </is>
      </c>
      <c r="G212" s="0" t="inlineStr">
        <is>
          <t>2026-07-13</t>
        </is>
      </c>
      <c r="H212" s="0" t="inlineStr">
        <is>
          <t>2027-03-28</t>
        </is>
      </c>
      <c r="I212" s="0" t="inlineStr">
        <is>
          <t>TR5</t>
        </is>
      </c>
      <c r="J212" s="0" t="inlineStr">
        <is>
          <t>DVT-样机制作</t>
        </is>
      </c>
      <c r="K212" s="0" t="inlineStr">
        <is>
          <t>@文春英</t>
        </is>
      </c>
      <c r="L212" s="0" t="inlineStr">
        <is>
          <t>2026-11-13</t>
        </is>
      </c>
      <c r="M212" s="0" t="inlineStr">
        <is>
          <t>2026-11-17</t>
        </is>
      </c>
      <c r="N212" s="0" t="n">
        <v>8</v>
      </c>
      <c r="O212" s="0">
        <f>任务计划表!K212</f>
        <v/>
      </c>
      <c r="P212" s="0">
        <f>IF(IF(任务计划表!L212="/",人员资源情况!$A$2,L212)&gt;M212,M212,(IF(任务计划表!L212="/",人员资源情况!$A$2,L212)))</f>
        <v/>
      </c>
      <c r="Q212" s="0">
        <f>IF(M212="/",人员资源情况!$B$2,任务计划表!M212)</f>
        <v/>
      </c>
      <c r="R212" s="0">
        <f>任务计划表!N212</f>
        <v/>
      </c>
      <c r="S212" s="0">
        <f>IF(O212=人员资源情况!C$2,1,0)</f>
        <v/>
      </c>
      <c r="T212" s="0">
        <f>IF(P212&gt;=人员资源情况!A$2,1,0)</f>
        <v/>
      </c>
      <c r="U212" s="0">
        <f>IF(Q212&lt;=人员资源情况!B$2,1,0)</f>
        <v/>
      </c>
      <c r="V212" s="0">
        <f>IF(T212*U212,Q212-P212,IF(T212&gt;U212,人员资源情况!B$2-P212,IF(T212&lt;U212,任务计划表!Q212-人员资源情况!A$2,0)))*R212*S212</f>
        <v/>
      </c>
      <c r="W212" s="0">
        <f>IF(V212&lt;0,0,V212)</f>
        <v/>
      </c>
    </row>
    <row r="213">
      <c r="E213" s="0" t="inlineStr">
        <is>
          <t>欧洲</t>
        </is>
      </c>
      <c r="F213" s="0" t="inlineStr">
        <is>
          <t>欧洲短款表</t>
        </is>
      </c>
      <c r="G213" s="0" t="inlineStr">
        <is>
          <t>2026-07-13</t>
        </is>
      </c>
      <c r="H213" s="0" t="inlineStr">
        <is>
          <t>2027-03-28</t>
        </is>
      </c>
      <c r="I213" s="0" t="inlineStr">
        <is>
          <t>TR5</t>
        </is>
      </c>
      <c r="J213" s="0" t="inlineStr">
        <is>
          <t>DVT样机可生产性（定型机）评审</t>
        </is>
      </c>
      <c r="K213" s="0" t="inlineStr">
        <is>
          <t>@肖庆阳</t>
        </is>
      </c>
      <c r="L213" s="0" t="inlineStr">
        <is>
          <t>2026-11-18</t>
        </is>
      </c>
      <c r="M213" s="0" t="inlineStr">
        <is>
          <t>2026-11-18</t>
        </is>
      </c>
      <c r="N213" s="0" t="n">
        <v>8</v>
      </c>
      <c r="O213" s="0">
        <f>任务计划表!K213</f>
        <v/>
      </c>
      <c r="P213" s="0">
        <f>IF(IF(任务计划表!L213="/",人员资源情况!$A$2,L213)&gt;M213,M213,(IF(任务计划表!L213="/",人员资源情况!$A$2,L213)))</f>
        <v/>
      </c>
      <c r="Q213" s="0">
        <f>IF(M213="/",人员资源情况!$B$2,任务计划表!M213)</f>
        <v/>
      </c>
      <c r="R213" s="0">
        <f>任务计划表!N213</f>
        <v/>
      </c>
      <c r="S213" s="0">
        <f>IF(O213=人员资源情况!C$2,1,0)</f>
        <v/>
      </c>
      <c r="T213" s="0">
        <f>IF(P213&gt;=人员资源情况!A$2,1,0)</f>
        <v/>
      </c>
      <c r="U213" s="0">
        <f>IF(Q213&lt;=人员资源情况!B$2,1,0)</f>
        <v/>
      </c>
      <c r="V213" s="0">
        <f>IF(T213*U213,Q213-P213,IF(T213&gt;U213,人员资源情况!B$2-P213,IF(T213&lt;U213,任务计划表!Q213-人员资源情况!A$2,0)))*R213*S213</f>
        <v/>
      </c>
      <c r="W213" s="0">
        <f>IF(V213&lt;0,0,V213)</f>
        <v/>
      </c>
    </row>
    <row r="214">
      <c r="E214" s="0" t="inlineStr">
        <is>
          <t>欧洲</t>
        </is>
      </c>
      <c r="F214" s="0" t="inlineStr">
        <is>
          <t>欧洲短款表</t>
        </is>
      </c>
      <c r="G214" s="0" t="inlineStr">
        <is>
          <t>2026-07-13</t>
        </is>
      </c>
      <c r="H214" s="0" t="inlineStr">
        <is>
          <t>2027-03-28</t>
        </is>
      </c>
      <c r="I214" s="0" t="inlineStr">
        <is>
          <t>TR5</t>
        </is>
      </c>
      <c r="J214" s="0" t="inlineStr">
        <is>
          <t>工艺评审整改回复</t>
        </is>
      </c>
      <c r="K214" s="0" t="inlineStr">
        <is>
          <t>@肖庆阳</t>
        </is>
      </c>
      <c r="L214" s="0" t="inlineStr">
        <is>
          <t>2026-11-19</t>
        </is>
      </c>
      <c r="M214" s="0" t="inlineStr">
        <is>
          <t>2026-11-19</t>
        </is>
      </c>
      <c r="N214" s="0" t="n">
        <v>8</v>
      </c>
      <c r="O214" s="0">
        <f>任务计划表!K214</f>
        <v/>
      </c>
      <c r="P214" s="0">
        <f>IF(IF(任务计划表!L214="/",人员资源情况!$A$2,L214)&gt;M214,M214,(IF(任务计划表!L214="/",人员资源情况!$A$2,L214)))</f>
        <v/>
      </c>
      <c r="Q214" s="0">
        <f>IF(M214="/",人员资源情况!$B$2,任务计划表!M214)</f>
        <v/>
      </c>
      <c r="R214" s="0">
        <f>任务计划表!N214</f>
        <v/>
      </c>
      <c r="S214" s="0">
        <f>IF(O214=人员资源情况!C$2,1,0)</f>
        <v/>
      </c>
      <c r="T214" s="0">
        <f>IF(P214&gt;=人员资源情况!A$2,1,0)</f>
        <v/>
      </c>
      <c r="U214" s="0">
        <f>IF(Q214&lt;=人员资源情况!B$2,1,0)</f>
        <v/>
      </c>
      <c r="V214" s="0">
        <f>IF(T214*U214,Q214-P214,IF(T214&gt;U214,人员资源情况!B$2-P214,IF(T214&lt;U214,任务计划表!Q214-人员资源情况!A$2,0)))*R214*S214</f>
        <v/>
      </c>
      <c r="W214" s="0">
        <f>IF(V214&lt;0,0,V214)</f>
        <v/>
      </c>
    </row>
    <row r="215">
      <c r="E215" s="0" t="inlineStr">
        <is>
          <t>欧洲</t>
        </is>
      </c>
      <c r="F215" s="0" t="inlineStr">
        <is>
          <t>欧洲短款表</t>
        </is>
      </c>
      <c r="G215" s="0" t="inlineStr">
        <is>
          <t>2026-07-13</t>
        </is>
      </c>
      <c r="H215" s="0" t="inlineStr">
        <is>
          <t>2027-03-28</t>
        </is>
      </c>
      <c r="I215" s="0" t="inlineStr">
        <is>
          <t>TR6</t>
        </is>
      </c>
      <c r="J215" s="0" t="inlineStr">
        <is>
          <t>集成测试</t>
        </is>
      </c>
      <c r="K215" s="0" t="inlineStr">
        <is>
          <t xml:space="preserve"> @杨慧霞</t>
        </is>
      </c>
      <c r="L215" s="0" t="inlineStr">
        <is>
          <t>2026-11-20</t>
        </is>
      </c>
      <c r="M215" s="0" t="inlineStr">
        <is>
          <t>2026-12-05</t>
        </is>
      </c>
      <c r="N215" s="0" t="n">
        <v>0</v>
      </c>
      <c r="O215" s="0">
        <f>任务计划表!K215</f>
        <v/>
      </c>
      <c r="P215" s="0">
        <f>IF(IF(任务计划表!L215="/",人员资源情况!$A$2,L215)&gt;M215,M215,(IF(任务计划表!L215="/",人员资源情况!$A$2,L215)))</f>
        <v/>
      </c>
      <c r="Q215" s="0">
        <f>IF(M215="/",人员资源情况!$B$2,任务计划表!M215)</f>
        <v/>
      </c>
      <c r="R215" s="0">
        <f>任务计划表!N215</f>
        <v/>
      </c>
      <c r="S215" s="0">
        <f>IF(O215=人员资源情况!C$2,1,0)</f>
        <v/>
      </c>
      <c r="T215" s="0">
        <f>IF(P215&gt;=人员资源情况!A$2,1,0)</f>
        <v/>
      </c>
      <c r="U215" s="0">
        <f>IF(Q215&lt;=人员资源情况!B$2,1,0)</f>
        <v/>
      </c>
      <c r="V215" s="0">
        <f>IF(T215*U215,Q215-P215,IF(T215&gt;U215,人员资源情况!B$2-P215,IF(T215&lt;U215,任务计划表!Q215-人员资源情况!A$2,0)))*R215*S215</f>
        <v/>
      </c>
      <c r="W215" s="0">
        <f>IF(V215&lt;0,0,V215)</f>
        <v/>
      </c>
    </row>
    <row r="216">
      <c r="E216" s="0" t="inlineStr">
        <is>
          <t>产品降本</t>
        </is>
      </c>
      <c r="F216" s="0" t="inlineStr">
        <is>
          <t>研究院LoRaWAN</t>
        </is>
      </c>
      <c r="G216" s="0" t="inlineStr">
        <is>
          <t>1900-01-01</t>
        </is>
      </c>
      <c r="H216" s="0" t="inlineStr">
        <is>
          <t>2100-01-01</t>
        </is>
      </c>
      <c r="I216" s="0" t="inlineStr">
        <is>
          <t>测试lorawan项目主板基础功能</t>
        </is>
      </c>
      <c r="J216" s="0" t="inlineStr">
        <is>
          <t>固件工程师</t>
        </is>
      </c>
      <c r="K216" s="0" t="inlineStr">
        <is>
          <t>@答金雨(80016793)</t>
        </is>
      </c>
      <c r="L216" s="0" t="inlineStr">
        <is>
          <t>2026-07-27</t>
        </is>
      </c>
      <c r="M216" s="0" t="inlineStr">
        <is>
          <t>2026-07-30</t>
        </is>
      </c>
      <c r="N216" s="0" t="n">
        <v>8</v>
      </c>
      <c r="O216" s="0">
        <f>任务计划表!K216</f>
        <v/>
      </c>
      <c r="P216" s="0">
        <f>IF(IF(任务计划表!L216="/",人员资源情况!$A$2,L216)&gt;M216,M216,(IF(任务计划表!L216="/",人员资源情况!$A$2,L216)))</f>
        <v/>
      </c>
      <c r="Q216" s="0">
        <f>IF(M216="/",人员资源情况!$B$2,任务计划表!M216)</f>
        <v/>
      </c>
      <c r="R216" s="0">
        <f>任务计划表!N216</f>
        <v/>
      </c>
      <c r="S216" s="0">
        <f>IF(O216=人员资源情况!C$2,1,0)</f>
        <v/>
      </c>
      <c r="T216" s="0">
        <f>IF(P216&gt;=人员资源情况!A$2,1,0)</f>
        <v/>
      </c>
      <c r="U216" s="0">
        <f>IF(Q216&lt;=人员资源情况!B$2,1,0)</f>
        <v/>
      </c>
      <c r="V216" s="0">
        <f>IF(T216*U216,Q216-P216,IF(T216&gt;U216,人员资源情况!B$2-P216,IF(T216&lt;U216,任务计划表!Q216-人员资源情况!A$2,0)))*R216*S216</f>
        <v/>
      </c>
      <c r="W216" s="0">
        <f>IF(V216&lt;0,0,V216)</f>
        <v/>
      </c>
    </row>
    <row r="217">
      <c r="A217" s="0" t="inlineStr">
        <is>
          <t>已归档</t>
        </is>
      </c>
      <c r="E217" s="0" t="inlineStr">
        <is>
          <t>测试</t>
        </is>
      </c>
      <c r="F217" s="0" t="inlineStr">
        <is>
          <t>TEST demand</t>
        </is>
      </c>
      <c r="G217" s="0" t="inlineStr">
        <is>
          <t>1900-01-01</t>
        </is>
      </c>
      <c r="H217" s="0" t="inlineStr">
        <is>
          <t>2100-01-01</t>
        </is>
      </c>
      <c r="I217" s="0" t="inlineStr">
        <is>
          <t>新增</t>
        </is>
      </c>
      <c r="J217" s="0" t="inlineStr">
        <is>
          <t>项目经理</t>
        </is>
      </c>
      <c r="K217" s="0" t="inlineStr">
        <is>
          <t>@项家祺(80004213)(项家祺)</t>
        </is>
      </c>
      <c r="L217" s="0" t="inlineStr">
        <is>
          <t>2026-07-25</t>
        </is>
      </c>
      <c r="M217" s="0" t="inlineStr">
        <is>
          <t>2026-07-25</t>
        </is>
      </c>
      <c r="N217" s="0" t="n">
        <v>8</v>
      </c>
      <c r="O217" s="0">
        <f>任务计划表!K217</f>
        <v/>
      </c>
      <c r="P217" s="0">
        <f>IF(IF(任务计划表!L217="/",人员资源情况!$A$2,L217)&gt;M217,M217,(IF(任务计划表!L217="/",人员资源情况!$A$2,L217)))</f>
        <v/>
      </c>
      <c r="Q217" s="0">
        <f>IF(M217="/",人员资源情况!$B$2,任务计划表!M217)</f>
        <v/>
      </c>
      <c r="R217" s="0">
        <f>任务计划表!N217</f>
        <v/>
      </c>
      <c r="S217" s="0">
        <f>IF(O217=人员资源情况!C$2,1,0)</f>
        <v/>
      </c>
      <c r="T217" s="0">
        <f>IF(P217&gt;=人员资源情况!A$2,1,0)</f>
        <v/>
      </c>
      <c r="U217" s="0">
        <f>IF(Q217&lt;=人员资源情况!B$2,1,0)</f>
        <v/>
      </c>
      <c r="V217" s="0">
        <f>IF(T217*U217,Q217-P217,IF(T217&gt;U217,人员资源情况!B$2-P217,IF(T217&lt;U217,任务计划表!Q217-人员资源情况!A$2,0)))*R217*S217</f>
        <v/>
      </c>
      <c r="W217" s="0">
        <f>IF(V217&lt;0,0,V217)</f>
        <v/>
      </c>
      <c r="X217" s="0" t="inlineStr"/>
      <c r="Y217" s="0" t="inlineStr"/>
      <c r="Z217" s="0" t="inlineStr"/>
      <c r="AA217" s="0" t="inlineStr"/>
    </row>
    <row r="218">
      <c r="A218" s="0" t="inlineStr">
        <is>
          <t>已归档</t>
        </is>
      </c>
      <c r="E218" s="0" t="inlineStr">
        <is>
          <t>测试</t>
        </is>
      </c>
      <c r="F218" s="0" t="inlineStr">
        <is>
          <t>TEST demand</t>
        </is>
      </c>
      <c r="G218" s="0" t="inlineStr">
        <is>
          <t>1900-01-01</t>
        </is>
      </c>
      <c r="H218" s="0" t="inlineStr">
        <is>
          <t>2100-01-01</t>
        </is>
      </c>
      <c r="I218" s="0" t="inlineStr">
        <is>
          <t>2</t>
        </is>
      </c>
      <c r="J218" s="0" t="inlineStr">
        <is>
          <t>项目CHAT</t>
        </is>
      </c>
      <c r="K218" s="0" t="inlineStr">
        <is>
          <t>@项家祺(80004213)(项家祺)</t>
        </is>
      </c>
      <c r="L218" s="0" t="inlineStr">
        <is>
          <t>2026-07-25</t>
        </is>
      </c>
      <c r="M218" s="0" t="inlineStr">
        <is>
          <t>2026-07-25</t>
        </is>
      </c>
      <c r="N218" s="0" t="n">
        <v>8</v>
      </c>
      <c r="O218" s="0">
        <f>任务计划表!K218</f>
        <v/>
      </c>
      <c r="P218" s="0">
        <f>IF(IF(任务计划表!L218="/",人员资源情况!$A$2,L218)&gt;M218,M218,(IF(任务计划表!L218="/",人员资源情况!$A$2,L218)))</f>
        <v/>
      </c>
      <c r="Q218" s="0">
        <f>IF(M218="/",人员资源情况!$B$2,任务计划表!M218)</f>
        <v/>
      </c>
      <c r="R218" s="0">
        <f>任务计划表!N218</f>
        <v/>
      </c>
      <c r="S218" s="0">
        <f>IF(O218=人员资源情况!C$2,1,0)</f>
        <v/>
      </c>
      <c r="T218" s="0">
        <f>IF(P218&gt;=人员资源情况!A$2,1,0)</f>
        <v/>
      </c>
      <c r="U218" s="0">
        <f>IF(Q218&lt;=人员资源情况!B$2,1,0)</f>
        <v/>
      </c>
      <c r="V218" s="0">
        <f>IF(T218*U218,Q218-P218,IF(T218&gt;U218,人员资源情况!B$2-P218,IF(T218&lt;U218,任务计划表!Q218-人员资源情况!A$2,0)))*R218*S218</f>
        <v/>
      </c>
      <c r="W218" s="0">
        <f>IF(V218&lt;0,0,V218)</f>
        <v/>
      </c>
      <c r="X218" s="0" t="inlineStr"/>
      <c r="Y218" s="0" t="inlineStr"/>
      <c r="Z218" s="0" t="inlineStr"/>
      <c r="AA218" s="0" t="inlineStr"/>
    </row>
    <row r="219">
      <c r="A219" s="0" t="inlineStr">
        <is>
          <t>已归档</t>
        </is>
      </c>
      <c r="E219" s="0" t="inlineStr">
        <is>
          <t>测试</t>
        </is>
      </c>
      <c r="F219" s="0" t="inlineStr">
        <is>
          <t>测试看板</t>
        </is>
      </c>
      <c r="G219" s="0" t="inlineStr">
        <is>
          <t>1900-01-01</t>
        </is>
      </c>
      <c r="H219" s="0" t="inlineStr">
        <is>
          <t>2100-01-01</t>
        </is>
      </c>
      <c r="I219" s="0" t="inlineStr">
        <is>
          <t>测试</t>
        </is>
      </c>
      <c r="J219" s="0" t="inlineStr">
        <is>
          <t>项目经理</t>
        </is>
      </c>
      <c r="K219" s="0" t="inlineStr">
        <is>
          <t>@项家祺(80004213)(项家祺)</t>
        </is>
      </c>
      <c r="L219" s="0" t="inlineStr">
        <is>
          <t>2026-07-27</t>
        </is>
      </c>
      <c r="M219" s="0" t="inlineStr">
        <is>
          <t>2026-07-27</t>
        </is>
      </c>
      <c r="N219" s="0" t="n">
        <v>8</v>
      </c>
      <c r="O219" s="0">
        <f>任务计划表!K219</f>
        <v/>
      </c>
      <c r="P219" s="0">
        <f>IF(IF(任务计划表!L219="/",人员资源情况!$A$2,L219)&gt;M219,M219,(IF(任务计划表!L219="/",人员资源情况!$A$2,L219)))</f>
        <v/>
      </c>
      <c r="Q219" s="0">
        <f>IF(M219="/",人员资源情况!$B$2,任务计划表!M219)</f>
        <v/>
      </c>
      <c r="R219" s="0">
        <f>任务计划表!N219</f>
        <v/>
      </c>
      <c r="S219" s="0">
        <f>IF(O219=人员资源情况!C$2,1,0)</f>
        <v/>
      </c>
      <c r="T219" s="0">
        <f>IF(P219&gt;=人员资源情况!A$2,1,0)</f>
        <v/>
      </c>
      <c r="U219" s="0">
        <f>IF(Q219&lt;=人员资源情况!B$2,1,0)</f>
        <v/>
      </c>
      <c r="V219" s="0">
        <f>IF(T219*U219,Q219-P219,IF(T219&gt;U219,人员资源情况!B$2-P219,IF(T219&lt;U219,任务计划表!Q219-人员资源情况!A$2,0)))*R219*S219</f>
        <v/>
      </c>
      <c r="W219" s="0">
        <f>IF(V219&lt;0,0,V219)</f>
        <v/>
      </c>
    </row>
    <row r="220">
      <c r="E220" s="0" t="inlineStr">
        <is>
          <t>测试</t>
        </is>
      </c>
      <c r="F220" s="0" t="inlineStr">
        <is>
          <t>测试看板</t>
        </is>
      </c>
      <c r="G220" s="0" t="inlineStr">
        <is>
          <t>1900-01-01</t>
        </is>
      </c>
      <c r="H220" s="0" t="inlineStr">
        <is>
          <t>2100-01-01</t>
        </is>
      </c>
      <c r="I220" s="0" t="inlineStr">
        <is>
          <t>测试</t>
        </is>
      </c>
      <c r="J220" s="0" t="inlineStr">
        <is>
          <t>测试工程师</t>
        </is>
      </c>
      <c r="K220" s="0" t="inlineStr">
        <is>
          <t>@项家祺(80004213)(项家祺)</t>
        </is>
      </c>
      <c r="L220" s="0" t="inlineStr">
        <is>
          <t>2026-07-27</t>
        </is>
      </c>
      <c r="M220" s="0" t="inlineStr">
        <is>
          <t>2026-07-27</t>
        </is>
      </c>
      <c r="N220" s="0" t="n">
        <v>8</v>
      </c>
      <c r="O220" s="0">
        <f>任务计划表!K220</f>
        <v/>
      </c>
      <c r="P220" s="0">
        <f>IF(IF(任务计划表!L220="/",人员资源情况!$A$2,L220)&gt;M220,M220,(IF(任务计划表!L220="/",人员资源情况!$A$2,L220)))</f>
        <v/>
      </c>
      <c r="Q220" s="0">
        <f>IF(M220="/",人员资源情况!$B$2,任务计划表!M220)</f>
        <v/>
      </c>
      <c r="R220" s="0">
        <f>任务计划表!N220</f>
        <v/>
      </c>
      <c r="S220" s="0">
        <f>IF(O220=人员资源情况!C$2,1,0)</f>
        <v/>
      </c>
      <c r="T220" s="0">
        <f>IF(P220&gt;=人员资源情况!A$2,1,0)</f>
        <v/>
      </c>
      <c r="U220" s="0">
        <f>IF(Q220&lt;=人员资源情况!B$2,1,0)</f>
        <v/>
      </c>
      <c r="V220" s="0">
        <f>IF(T220*U220,Q220-P220,IF(T220&gt;U220,人员资源情况!B$2-P220,IF(T220&lt;U220,任务计划表!Q220-人员资源情况!A$2,0)))*R220*S220</f>
        <v/>
      </c>
      <c r="W220" s="0">
        <f>IF(V220&lt;0,0,V220)</f>
        <v/>
      </c>
    </row>
  </sheetData>
  <autoFilter ref="K1:K1047096"/>
  <mergeCells count="25">
    <mergeCell ref="E56:E61"/>
    <mergeCell ref="F36:F46"/>
    <mergeCell ref="F4:F9"/>
    <mergeCell ref="H4:H9"/>
    <mergeCell ref="E73:E74"/>
    <mergeCell ref="I62:I63"/>
    <mergeCell ref="E47:E51"/>
    <mergeCell ref="E26:E32"/>
    <mergeCell ref="F31:F32"/>
    <mergeCell ref="F62:F63"/>
    <mergeCell ref="F17:F24"/>
    <mergeCell ref="E33:E46"/>
    <mergeCell ref="F47:F50"/>
    <mergeCell ref="I64:I67"/>
    <mergeCell ref="F56:F61"/>
    <mergeCell ref="F28:F29"/>
    <mergeCell ref="E62:E63"/>
    <mergeCell ref="G4:G9"/>
    <mergeCell ref="F68:F72"/>
    <mergeCell ref="I56:I58"/>
    <mergeCell ref="I4:I9"/>
    <mergeCell ref="F64:F67"/>
    <mergeCell ref="J2:N2"/>
    <mergeCell ref="E64:E72"/>
    <mergeCell ref="I68:I7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操作ID</t>
        </is>
      </c>
      <c r="B1" s="0" t="inlineStr">
        <is>
          <t>操作时间</t>
        </is>
      </c>
      <c r="C1" s="0" t="inlineStr">
        <is>
          <t>操作人</t>
        </is>
      </c>
      <c r="D1" s="0" t="inlineStr">
        <is>
          <t>操作类型</t>
        </is>
      </c>
      <c r="E1" s="0" t="inlineStr">
        <is>
          <t>项目ID列表</t>
        </is>
      </c>
      <c r="F1" s="0" t="inlineStr">
        <is>
          <t>项目名列表</t>
        </is>
      </c>
      <c r="G1" s="0" t="inlineStr">
        <is>
          <t>变更前内容</t>
        </is>
      </c>
      <c r="H1" s="0" t="inlineStr">
        <is>
          <t>变更后内容</t>
        </is>
      </c>
      <c r="I1" s="0" t="inlineStr">
        <is>
          <t>状态</t>
        </is>
      </c>
      <c r="J1" s="0" t="inlineStr">
        <is>
          <t>关联审批ID</t>
        </is>
      </c>
      <c r="K1" s="0" t="inlineStr">
        <is>
          <t>审批人</t>
        </is>
      </c>
      <c r="L1" s="0" t="inlineStr">
        <is>
          <t>审批时间</t>
        </is>
      </c>
    </row>
    <row r="2">
      <c r="A2" s="0" t="inlineStr">
        <is>
          <t>OP-20260723-001</t>
        </is>
      </c>
      <c r="B2" s="0" t="inlineStr">
        <is>
          <t>2026-07-23T12:00:00</t>
        </is>
      </c>
      <c r="C2" s="0" t="inlineStr">
        <is>
          <t>testuser</t>
        </is>
      </c>
      <c r="D2" s="0" t="inlineStr">
        <is>
          <t>archive</t>
        </is>
      </c>
      <c r="E2" s="0" t="inlineStr">
        <is>
          <t>[1, 2, 3]</t>
        </is>
      </c>
      <c r="F2" s="0" t="inlineStr">
        <is>
          <t>["项目A", "项目B", "项目C"]</t>
        </is>
      </c>
      <c r="G2" s="0" t="inlineStr">
        <is>
          <t>{"状态": "active"}</t>
        </is>
      </c>
      <c r="H2" s="0" t="inlineStr">
        <is>
          <t>{"状态": "archived"}</t>
        </is>
      </c>
      <c r="I2" s="0" t="inlineStr">
        <is>
          <t>pending</t>
        </is>
      </c>
      <c r="J2" s="0" t="inlineStr"/>
      <c r="K2" s="0" t="inlineStr"/>
      <c r="L2" s="0" t="inlineStr"/>
    </row>
    <row r="3">
      <c r="A3" s="0" t="inlineStr">
        <is>
          <t>OP-20260723-002</t>
        </is>
      </c>
      <c r="B3" s="0" t="inlineStr">
        <is>
          <t>2026-07-23T13:00:00</t>
        </is>
      </c>
      <c r="C3" s="0" t="inlineStr">
        <is>
          <t>zky</t>
        </is>
      </c>
      <c r="D3" s="0" t="inlineStr">
        <is>
          <t>edit</t>
        </is>
      </c>
      <c r="E3" s="0" t="inlineStr">
        <is>
          <t>[100]</t>
        </is>
      </c>
      <c r="F3" s="0" t="inlineStr">
        <is>
          <t>["测试项目A"]</t>
        </is>
      </c>
      <c r="G3" s="0" t="inlineStr">
        <is>
          <t>{"负责人": "张三"}</t>
        </is>
      </c>
      <c r="H3" s="0" t="inlineStr">
        <is>
          <t>{"负责人": "李四"}</t>
        </is>
      </c>
      <c r="I3" s="0" t="inlineStr">
        <is>
          <t>cancelled</t>
        </is>
      </c>
      <c r="J3" s="0" t="inlineStr"/>
      <c r="K3" s="0" t="inlineStr">
        <is>
          <t>zky</t>
        </is>
      </c>
      <c r="L3" s="0" t="inlineStr">
        <is>
          <t>2026-07-23T06:24:45.243307</t>
        </is>
      </c>
    </row>
    <row r="4">
      <c r="A4" s="0" t="inlineStr">
        <is>
          <t>OP-20260723-003</t>
        </is>
      </c>
      <c r="B4" s="0" t="inlineStr">
        <is>
          <t>2026-07-23T14:00:00</t>
        </is>
      </c>
      <c r="C4" s="0" t="inlineStr">
        <is>
          <t>zky</t>
        </is>
      </c>
      <c r="D4" s="0" t="inlineStr">
        <is>
          <t>edit</t>
        </is>
      </c>
      <c r="E4" s="0" t="inlineStr">
        <is>
          <t>[101]</t>
        </is>
      </c>
      <c r="F4" s="0" t="inlineStr">
        <is>
          <t>["测试撤回项目"]</t>
        </is>
      </c>
      <c r="G4" s="0" t="inlineStr">
        <is>
          <t>{"负责人": "张三"}</t>
        </is>
      </c>
      <c r="H4" s="0" t="inlineStr">
        <is>
          <t>{"负责人": "李四"}</t>
        </is>
      </c>
      <c r="I4" s="0" t="inlineStr">
        <is>
          <t>cancelled</t>
        </is>
      </c>
      <c r="J4" s="0" t="inlineStr"/>
      <c r="K4" s="0" t="inlineStr">
        <is>
          <t>zky</t>
        </is>
      </c>
      <c r="L4" s="0" t="inlineStr">
        <is>
          <t>2026-07-23T05:27:51.082235</t>
        </is>
      </c>
    </row>
    <row r="5">
      <c r="A5" s="0" t="inlineStr">
        <is>
          <t>OP-20260723-004</t>
        </is>
      </c>
      <c r="B5" s="0" t="inlineStr">
        <is>
          <t>2026-07-23T15:00:00</t>
        </is>
      </c>
      <c r="C5" s="0" t="inlineStr">
        <is>
          <t>testuser2</t>
        </is>
      </c>
      <c r="D5" s="0" t="inlineStr">
        <is>
          <t>archive</t>
        </is>
      </c>
      <c r="E5" s="0" t="inlineStr">
        <is>
          <t>[200]</t>
        </is>
      </c>
      <c r="F5" s="0" t="inlineStr">
        <is>
          <t>["撤回测试项目"]</t>
        </is>
      </c>
      <c r="G5" s="0" t="inlineStr"/>
      <c r="H5" s="0" t="inlineStr"/>
      <c r="I5" s="0" t="inlineStr">
        <is>
          <t>cancelled</t>
        </is>
      </c>
      <c r="J5" s="0" t="inlineStr"/>
      <c r="K5" s="0" t="inlineStr">
        <is>
          <t>testuser2</t>
        </is>
      </c>
      <c r="L5" s="0" t="inlineStr">
        <is>
          <t>2026-07-23T05:28:49.988722</t>
        </is>
      </c>
    </row>
    <row r="6">
      <c r="A6" s="0" t="inlineStr">
        <is>
          <t>OP-20260723-005</t>
        </is>
      </c>
      <c r="B6" s="0" t="inlineStr">
        <is>
          <t>2026-07-23T06:25:42.336944</t>
        </is>
      </c>
      <c r="C6" s="0" t="inlineStr">
        <is>
          <t>zky</t>
        </is>
      </c>
      <c r="D6" s="0" t="inlineStr">
        <is>
          <t>archive</t>
        </is>
      </c>
      <c r="E6" s="0" t="inlineStr">
        <is>
          <t>[52]</t>
        </is>
      </c>
      <c r="F6" s="0" t="inlineStr">
        <is>
          <t>["沙特-NB水表"]</t>
        </is>
      </c>
      <c r="G6" s="0" t="inlineStr">
        <is>
          <t>{}</t>
        </is>
      </c>
      <c r="H6" s="0" t="inlineStr">
        <is>
          <t>{}</t>
        </is>
      </c>
      <c r="I6" s="0" t="inlineStr">
        <is>
          <t>rejected</t>
        </is>
      </c>
      <c r="J6" s="0" t="inlineStr"/>
      <c r="K6" s="0" t="inlineStr">
        <is>
          <t>xjq</t>
        </is>
      </c>
      <c r="L6" s="0" t="inlineStr">
        <is>
          <t>2026-07-23T06:28:36.029791</t>
        </is>
      </c>
    </row>
    <row r="7">
      <c r="A7" s="0" t="inlineStr">
        <is>
          <t>OP-20260723-006</t>
        </is>
      </c>
      <c r="B7" s="0" t="inlineStr">
        <is>
          <t>2026-07-23T06:27:17.041237</t>
        </is>
      </c>
      <c r="C7" s="0" t="inlineStr">
        <is>
          <t>lhl</t>
        </is>
      </c>
      <c r="D7" s="0" t="inlineStr">
        <is>
          <t>archive</t>
        </is>
      </c>
      <c r="E7" s="0" t="inlineStr">
        <is>
          <t>[54]</t>
        </is>
      </c>
      <c r="F7" s="0" t="inlineStr">
        <is>
          <t>["沙特-NB水表"]</t>
        </is>
      </c>
      <c r="G7" s="0" t="inlineStr">
        <is>
          <t>{}</t>
        </is>
      </c>
      <c r="H7" s="0" t="inlineStr">
        <is>
          <t>{}</t>
        </is>
      </c>
      <c r="I7" s="0" t="inlineStr">
        <is>
          <t>approved</t>
        </is>
      </c>
      <c r="J7" s="0" t="inlineStr"/>
      <c r="K7" s="0" t="inlineStr">
        <is>
          <t>xjq</t>
        </is>
      </c>
      <c r="L7" s="0" t="inlineStr">
        <is>
          <t>2026-07-23T06:28:21.733796</t>
        </is>
      </c>
    </row>
    <row r="8">
      <c r="A8" s="0" t="inlineStr">
        <is>
          <t>OP-20260723-007</t>
        </is>
      </c>
      <c r="B8" s="0" t="inlineStr">
        <is>
          <t>2026-07-23T07:56:35.008802</t>
        </is>
      </c>
      <c r="C8" s="0" t="inlineStr">
        <is>
          <t>mwh</t>
        </is>
      </c>
      <c r="D8" s="0" t="inlineStr">
        <is>
          <t>edit</t>
        </is>
      </c>
      <c r="E8" s="0" t="inlineStr">
        <is>
          <t>[152]</t>
        </is>
      </c>
      <c r="F8" s="0" t="inlineStr">
        <is>
          <t>["巴勒斯坦超声户表二开"]</t>
        </is>
      </c>
      <c r="G8" s="0" t="inlineStr">
        <is>
          <t>{"资源名称": "毛文豪", "资源开始时间": "2026-07-29", "资源结束时间": "2026-07-30", "资源类型": "CIU固件代码编写", "日平均工时": 6}</t>
        </is>
      </c>
      <c r="H8" s="0" t="inlineStr">
        <is>
          <t>{"资源名称": "毛文豪", "资源开始时间": "2026-07-30", "资源结束时间": "2026-07-31", "资源类型": "CIU固件代码编写", "日平均工时": 6}</t>
        </is>
      </c>
      <c r="I8" s="0" t="inlineStr">
        <is>
          <t>approved</t>
        </is>
      </c>
      <c r="J8" s="0" t="inlineStr"/>
      <c r="K8" s="0" t="inlineStr">
        <is>
          <t>xjq</t>
        </is>
      </c>
      <c r="L8" s="0" t="inlineStr">
        <is>
          <t>2026-07-23T09:05:22.196252</t>
        </is>
      </c>
    </row>
    <row r="9">
      <c r="A9" s="0" t="inlineStr">
        <is>
          <t>OP-20260723-008</t>
        </is>
      </c>
      <c r="B9" s="0" t="inlineStr">
        <is>
          <t>2026-07-23T07:58:53.007876</t>
        </is>
      </c>
      <c r="C9" s="0" t="inlineStr">
        <is>
          <t>mwh</t>
        </is>
      </c>
      <c r="D9" s="0" t="inlineStr">
        <is>
          <t>edit</t>
        </is>
      </c>
      <c r="E9" s="0" t="inlineStr">
        <is>
          <t>[157]</t>
        </is>
      </c>
      <c r="F9" s="0" t="inlineStr">
        <is>
          <t>["巴勒斯坦超声户表二开"]</t>
        </is>
      </c>
      <c r="G9" s="0" t="inlineStr">
        <is>
          <t>{"资源名称": "肖庆阳", "资源开始时间": "2026-08-13", "资源结束时间": "2026-08-14", "资源类型": "生产工艺及规程制定", "日平均工时": 8}</t>
        </is>
      </c>
      <c r="H9" s="0" t="inlineStr">
        <is>
          <t>{}</t>
        </is>
      </c>
      <c r="I9" s="0" t="inlineStr">
        <is>
          <t>rejected</t>
        </is>
      </c>
      <c r="J9" s="0" t="inlineStr"/>
      <c r="K9" s="0" t="inlineStr">
        <is>
          <t>xjq</t>
        </is>
      </c>
      <c r="L9" s="0" t="inlineStr">
        <is>
          <t>2026-07-23T10:43:17.299129</t>
        </is>
      </c>
    </row>
    <row r="10">
      <c r="A10" s="0" t="inlineStr">
        <is>
          <t>OP-20260723-009</t>
        </is>
      </c>
      <c r="B10" s="0" t="inlineStr">
        <is>
          <t>2026-07-23T07:59:29.311253</t>
        </is>
      </c>
      <c r="C10" s="0" t="inlineStr">
        <is>
          <t>mwh</t>
        </is>
      </c>
      <c r="D10" s="0" t="inlineStr">
        <is>
          <t>edit</t>
        </is>
      </c>
      <c r="E10" s="0" t="inlineStr">
        <is>
          <t>[155]</t>
        </is>
      </c>
      <c r="F10" s="0" t="inlineStr">
        <is>
          <t>["巴勒斯坦超声户表二开"]</t>
        </is>
      </c>
      <c r="G10" s="0" t="inlineStr">
        <is>
          <t>{"资源名称": "袁知正", "资源开始时间": "2026-07-30", "资源结束时间": "2026-08-12", "资源类型": "测试报告", "日平均工时": 8}</t>
        </is>
      </c>
      <c r="H10" s="0" t="inlineStr">
        <is>
          <t>{"资源名称": "袁知正", "资源开始时间": "2026-07-30", "资源结束时间": "2026-08-14", "资源类型": "测试报告", "日平均工时": 8}</t>
        </is>
      </c>
      <c r="I10" s="0" t="inlineStr">
        <is>
          <t>approved</t>
        </is>
      </c>
      <c r="J10" s="0" t="inlineStr"/>
      <c r="K10" s="0" t="inlineStr">
        <is>
          <t>xjq</t>
        </is>
      </c>
      <c r="L10" s="0" t="inlineStr">
        <is>
          <t>2026-07-23T09:07:00.994720</t>
        </is>
      </c>
    </row>
    <row r="11">
      <c r="A11" s="0" t="inlineStr">
        <is>
          <t>OP-20260723-010</t>
        </is>
      </c>
      <c r="B11" s="0" t="inlineStr">
        <is>
          <t>2026-07-23T08:03:07.712347</t>
        </is>
      </c>
      <c r="C11" s="0" t="inlineStr">
        <is>
          <t>mwh</t>
        </is>
      </c>
      <c r="D11" s="0" t="inlineStr">
        <is>
          <t>archive</t>
        </is>
      </c>
      <c r="E11" s="0" t="inlineStr">
        <is>
          <t>[31]</t>
        </is>
      </c>
      <c r="F11" s="0" t="inlineStr">
        <is>
          <t>["哥伦比亚相关"]</t>
        </is>
      </c>
      <c r="G11" s="0" t="inlineStr">
        <is>
          <t>{}</t>
        </is>
      </c>
      <c r="H11" s="0" t="inlineStr">
        <is>
          <t>{}</t>
        </is>
      </c>
      <c r="I11" s="0" t="inlineStr">
        <is>
          <t>cancelled</t>
        </is>
      </c>
      <c r="J11" s="0" t="inlineStr"/>
      <c r="K11" s="0" t="inlineStr">
        <is>
          <t>mwh</t>
        </is>
      </c>
      <c r="L11" s="0" t="inlineStr">
        <is>
          <t>2026-07-23T10:44:53.907149</t>
        </is>
      </c>
    </row>
    <row r="12">
      <c r="A12" s="0" t="inlineStr">
        <is>
          <t>OP-20260723-011</t>
        </is>
      </c>
      <c r="B12" s="0" t="inlineStr">
        <is>
          <t>2026-07-23T08:03:12.506476</t>
        </is>
      </c>
      <c r="C12" s="0" t="inlineStr">
        <is>
          <t>mwh</t>
        </is>
      </c>
      <c r="D12" s="0" t="inlineStr">
        <is>
          <t>archive</t>
        </is>
      </c>
      <c r="E12" s="0" t="inlineStr">
        <is>
          <t>[31]</t>
        </is>
      </c>
      <c r="F12" s="0" t="inlineStr">
        <is>
          <t>["哥伦比亚相关"]</t>
        </is>
      </c>
      <c r="G12" s="0" t="inlineStr">
        <is>
          <t>{}</t>
        </is>
      </c>
      <c r="H12" s="0" t="inlineStr">
        <is>
          <t>{}</t>
        </is>
      </c>
      <c r="I12" s="0" t="inlineStr">
        <is>
          <t>approved</t>
        </is>
      </c>
      <c r="J12" s="0" t="inlineStr"/>
      <c r="K12" s="0" t="inlineStr">
        <is>
          <t>xjq</t>
        </is>
      </c>
      <c r="L12" s="0" t="inlineStr">
        <is>
          <t>2026-07-23T08:20:37.902251</t>
        </is>
      </c>
    </row>
    <row r="13">
      <c r="A13" s="0" t="inlineStr">
        <is>
          <t>OP-20260723-012</t>
        </is>
      </c>
      <c r="B13" s="0" t="inlineStr">
        <is>
          <t>2026-07-23T09:11:06.675414</t>
        </is>
      </c>
      <c r="C13" s="0" t="inlineStr">
        <is>
          <t>mwh</t>
        </is>
      </c>
      <c r="D13" s="0" t="inlineStr">
        <is>
          <t>edit</t>
        </is>
      </c>
      <c r="E13" s="0" t="inlineStr">
        <is>
          <t>[155]</t>
        </is>
      </c>
      <c r="F13" s="0" t="inlineStr">
        <is>
          <t>["巴勒斯坦超声户表二开"]</t>
        </is>
      </c>
      <c r="G13" s="0" t="inlineStr">
        <is>
          <t>{"资源名称": "袁知正", "资源开始时间": "2026-07-30", "资源结束时间": "2026-08-14", "资源类型": "测试报告", "日平均工时": 8}</t>
        </is>
      </c>
      <c r="H13" s="0" t="inlineStr">
        <is>
          <t>{"资源名称": "袁知正", "资源开始时间": "2026-07-30", "资源结束时间": "2026-08-05", "资源类型": "第一轮测试", "日平均工时": 8}</t>
        </is>
      </c>
      <c r="I13" s="0" t="inlineStr">
        <is>
          <t>approved</t>
        </is>
      </c>
      <c r="J13" s="0" t="inlineStr"/>
      <c r="K13" s="0" t="inlineStr">
        <is>
          <t>xjq</t>
        </is>
      </c>
      <c r="L13" s="0" t="inlineStr">
        <is>
          <t>2026-07-23T09:16:57.270975</t>
        </is>
      </c>
    </row>
    <row r="14">
      <c r="A14" s="0" t="inlineStr">
        <is>
          <t>OP-20260723-013</t>
        </is>
      </c>
      <c r="B14" s="0" t="inlineStr">
        <is>
          <t>2026-07-23T09:11:38.074728</t>
        </is>
      </c>
      <c r="C14" s="0" t="inlineStr">
        <is>
          <t>mwh</t>
        </is>
      </c>
      <c r="D14" s="0" t="inlineStr">
        <is>
          <t>edit</t>
        </is>
      </c>
      <c r="E14" s="0" t="inlineStr">
        <is>
          <t>[153]</t>
        </is>
      </c>
      <c r="F14" s="0" t="inlineStr">
        <is>
          <t>["巴勒斯坦超声户表二开"]</t>
        </is>
      </c>
      <c r="G14" s="0" t="inlineStr">
        <is>
          <t>{"资源名称": "文春英", "资源开始时间": "2026-07-30", "资源结束时间": "2026-08-03", "资源类型": "样机制作", "日平均工时": 2}</t>
        </is>
      </c>
      <c r="H14" s="0" t="inlineStr">
        <is>
          <t>{"资源名称": "文春英", "资源开始时间": "2026-07-28", "资源结束时间": "2026-08-30", "资源类型": "样机制作", "日平均工时": 2}</t>
        </is>
      </c>
      <c r="I14" s="0" t="inlineStr">
        <is>
          <t>approved</t>
        </is>
      </c>
      <c r="J14" s="0" t="inlineStr"/>
      <c r="K14" s="0" t="inlineStr">
        <is>
          <t>xjq</t>
        </is>
      </c>
      <c r="L14" s="0" t="inlineStr">
        <is>
          <t>2026-07-23T09:16:29.173013</t>
        </is>
      </c>
    </row>
    <row r="15">
      <c r="A15" s="0" t="inlineStr">
        <is>
          <t>OP-20260723-014</t>
        </is>
      </c>
      <c r="B15" s="0" t="inlineStr">
        <is>
          <t>2026-07-23T09:13:28.712841</t>
        </is>
      </c>
      <c r="C15" s="0" t="inlineStr">
        <is>
          <t>mwh</t>
        </is>
      </c>
      <c r="D15" s="0" t="inlineStr">
        <is>
          <t>add</t>
        </is>
      </c>
      <c r="E15" s="0" t="inlineStr">
        <is>
          <t>[]</t>
        </is>
      </c>
      <c r="F15" s="0" t="inlineStr">
        <is>
          <t>["巴勒斯坦超声户表二开"]</t>
        </is>
      </c>
      <c r="G15" s="0" t="inlineStr">
        <is>
          <t>{}</t>
        </is>
      </c>
      <c r="H15" s="0" t="inlineStr">
        <is>
          <t>{"部门": "亚洲", "项目": "巴勒斯坦超声户表二开", "项目开始时间": "1900-01-01", "项目结束时间": "2100-01-01", "项目描述": "第二轮测试", "资源类型": "测试工程师", "资源名称": "袁知正", "资源开始时间": "2026-08-07", "资源结束时间": "2026-08-13", "日平均工时": 8, "已归档": false}</t>
        </is>
      </c>
      <c r="I15" s="0" t="inlineStr">
        <is>
          <t>approved</t>
        </is>
      </c>
      <c r="J15" s="0" t="inlineStr"/>
      <c r="K15" s="0" t="inlineStr">
        <is>
          <t>xjq</t>
        </is>
      </c>
      <c r="L15" s="0" t="inlineStr">
        <is>
          <t>2026-07-23T09:16:01.868320</t>
        </is>
      </c>
    </row>
    <row r="16">
      <c r="A16" s="0" t="inlineStr">
        <is>
          <t>OP-20260723-015</t>
        </is>
      </c>
      <c r="B16" s="0" t="inlineStr">
        <is>
          <t>2026-07-23T09:31:29.791935</t>
        </is>
      </c>
      <c r="C16" s="0" t="inlineStr">
        <is>
          <t>mwh</t>
        </is>
      </c>
      <c r="D16" s="0" t="inlineStr">
        <is>
          <t>archive</t>
        </is>
      </c>
      <c r="E16" s="0" t="inlineStr">
        <is>
          <t>[49]</t>
        </is>
      </c>
      <c r="F16" s="0" t="inlineStr">
        <is>
          <t>["巴勒斯坦-LoRa"]</t>
        </is>
      </c>
      <c r="G16" s="0" t="inlineStr">
        <is>
          <t>{}</t>
        </is>
      </c>
      <c r="H16" s="0" t="inlineStr">
        <is>
          <t>{}</t>
        </is>
      </c>
      <c r="I16" s="0" t="inlineStr">
        <is>
          <t>cancelled</t>
        </is>
      </c>
      <c r="J16" s="0" t="inlineStr"/>
      <c r="K16" s="0" t="inlineStr">
        <is>
          <t>mwh</t>
        </is>
      </c>
      <c r="L16" s="0" t="inlineStr">
        <is>
          <t>2026-07-23T10:44:27.799263</t>
        </is>
      </c>
    </row>
    <row r="17">
      <c r="A17" s="0" t="inlineStr">
        <is>
          <t>OP-20260723-016</t>
        </is>
      </c>
      <c r="B17" s="0" t="inlineStr">
        <is>
          <t>2026-07-23T09:31:51.500903</t>
        </is>
      </c>
      <c r="C17" s="0" t="inlineStr">
        <is>
          <t>mwh</t>
        </is>
      </c>
      <c r="D17" s="0" t="inlineStr">
        <is>
          <t>edit</t>
        </is>
      </c>
      <c r="E17" s="0" t="inlineStr">
        <is>
          <t>[153]</t>
        </is>
      </c>
      <c r="F17" s="0" t="inlineStr">
        <is>
          <t>["巴勒斯坦超声户表二开"]</t>
        </is>
      </c>
      <c r="G17" s="0" t="inlineStr">
        <is>
          <t>{"部门": "亚洲", "项目": "巴勒斯坦超声户表二开", "项目描述": "TR4A", "资源类型": "样机制作", "资源名称": "文春英", "资源开始时间": "2026-07-28", "资源结束时间": "2026-08-30", "日平均工时": 2}</t>
        </is>
      </c>
      <c r="H17" s="0" t="inlineStr">
        <is>
          <t>{"部门": "亚洲", "项目": "巴勒斯坦超声户表二开", "项目描述": "TR4A", "资源类型": "样机制作", "资源名称": "文春英", "资源开始时间": "2026-07-28", "资源结束时间": "2026-07-30", "日平均工时": 2}</t>
        </is>
      </c>
      <c r="I17" s="0" t="inlineStr">
        <is>
          <t>cancelled</t>
        </is>
      </c>
      <c r="J17" s="0" t="inlineStr"/>
      <c r="K17" s="0" t="inlineStr">
        <is>
          <t>mwh</t>
        </is>
      </c>
      <c r="L17" s="0" t="inlineStr">
        <is>
          <t>2026-07-23T10:44:38.898072</t>
        </is>
      </c>
    </row>
    <row r="18">
      <c r="A18" s="0" t="inlineStr">
        <is>
          <t>OP-20260723-017</t>
        </is>
      </c>
      <c r="B18" s="0" t="inlineStr">
        <is>
          <t>2026-07-23T09:32:45.853556</t>
        </is>
      </c>
      <c r="C18" s="0" t="inlineStr">
        <is>
          <t>mwh</t>
        </is>
      </c>
      <c r="D18" s="0" t="inlineStr">
        <is>
          <t>add</t>
        </is>
      </c>
      <c r="E18" s="0" t="inlineStr">
        <is>
          <t>[]</t>
        </is>
      </c>
      <c r="F18" s="0" t="inlineStr">
        <is>
          <t>["巴勒斯坦超声户表二开"]</t>
        </is>
      </c>
      <c r="G18" s="0" t="inlineStr">
        <is>
          <t>{}</t>
        </is>
      </c>
      <c r="H18" s="0" t="inlineStr">
        <is>
          <t>{"部门": "亚洲", "项目": "巴勒斯坦超声户表二开", "项目开始时间": "1900-01-01", "项目结束时间": "2100-01-01", "项目描述": "TR4A", "资源类型": "硬件工程师", "资源名称": "袁知正", "资源开始时间": "2026-08-07", "资源结束时间": "2026-08-13", "日平均工时": 8, "已归档": false}</t>
        </is>
      </c>
      <c r="I18" s="0" t="inlineStr">
        <is>
          <t>approved</t>
        </is>
      </c>
      <c r="J18" s="0" t="inlineStr"/>
      <c r="K18" s="0" t="inlineStr">
        <is>
          <t>xjq</t>
        </is>
      </c>
      <c r="L18" s="0" t="inlineStr">
        <is>
          <t>2026-07-23T09:35:06.995095</t>
        </is>
      </c>
    </row>
    <row r="19">
      <c r="A19" s="0" t="inlineStr">
        <is>
          <t>OP-20260723-018</t>
        </is>
      </c>
      <c r="B19" s="0" t="inlineStr">
        <is>
          <t>2026-07-23T09:33:19.999310</t>
        </is>
      </c>
      <c r="C19" s="0" t="inlineStr">
        <is>
          <t>mwh</t>
        </is>
      </c>
      <c r="D19" s="0" t="inlineStr">
        <is>
          <t>edit</t>
        </is>
      </c>
      <c r="E19" s="0" t="inlineStr">
        <is>
          <t>[156]</t>
        </is>
      </c>
      <c r="F19" s="0" t="inlineStr">
        <is>
          <t>["巴勒斯坦超声户表二开"]</t>
        </is>
      </c>
      <c r="G19" s="0" t="inlineStr">
        <is>
          <t>{"部门": "亚洲", "项目": "巴勒斯坦超声户表二开", "项目描述": "TR4A", "资源类型": "测试报告评审", "资源名称": "袁知正", "资源开始时间": "2026-08-12", "资源结束时间": "2026-08-13", "日平均工时": 1}</t>
        </is>
      </c>
      <c r="H19" s="0" t="inlineStr">
        <is>
          <t>{"部门": "亚洲", "项目": "巴勒斯坦超声户表二开", "项目描述": "TR4A", "资源类型": "测试报告评审", "资源名称": "袁知正", "资源开始时间": "2026-08-14", "资源结束时间": "2026-08-14", "日平均工时": 1}</t>
        </is>
      </c>
      <c r="I19" s="0" t="inlineStr">
        <is>
          <t>cancelled</t>
        </is>
      </c>
      <c r="J19" s="0" t="inlineStr"/>
      <c r="K19" s="0" t="inlineStr">
        <is>
          <t>mwh</t>
        </is>
      </c>
      <c r="L19" s="0" t="inlineStr">
        <is>
          <t>2026-07-23T10:44:07.697934</t>
        </is>
      </c>
    </row>
    <row r="20">
      <c r="A20" s="0" t="inlineStr">
        <is>
          <t>OP-20260723-019</t>
        </is>
      </c>
      <c r="B20" s="0" t="inlineStr">
        <is>
          <t>2026-07-23T10:55:05.850780</t>
        </is>
      </c>
      <c r="C20" s="0" t="inlineStr">
        <is>
          <t>xjq</t>
        </is>
      </c>
      <c r="D20" s="0" t="inlineStr">
        <is>
          <t>archive</t>
        </is>
      </c>
      <c r="E20" s="0" t="inlineStr">
        <is>
          <t>[49]</t>
        </is>
      </c>
      <c r="F20" s="0" t="inlineStr">
        <is>
          <t>["巴勒斯坦-LoRa"]</t>
        </is>
      </c>
      <c r="G20" s="0" t="inlineStr">
        <is>
          <t>{}</t>
        </is>
      </c>
      <c r="H20" s="0" t="inlineStr">
        <is>
          <t>{}</t>
        </is>
      </c>
      <c r="I20" s="0" t="inlineStr">
        <is>
          <t>cancelled</t>
        </is>
      </c>
      <c r="J20" s="0" t="inlineStr"/>
      <c r="K20" s="0" t="inlineStr">
        <is>
          <t>xjq</t>
        </is>
      </c>
      <c r="L20" s="0" t="inlineStr">
        <is>
          <t>2026-07-23T10:55:58.153140</t>
        </is>
      </c>
    </row>
    <row r="21">
      <c r="A21" s="0" t="inlineStr">
        <is>
          <t>OP-20260723-020</t>
        </is>
      </c>
      <c r="B21" s="0" t="inlineStr">
        <is>
          <t>2026-07-23T10:56:46.555623</t>
        </is>
      </c>
      <c r="C21" s="0" t="inlineStr">
        <is>
          <t>mwh</t>
        </is>
      </c>
      <c r="D21" s="0" t="inlineStr">
        <is>
          <t>archive</t>
        </is>
      </c>
      <c r="E21" s="0" t="inlineStr">
        <is>
          <t>[49]</t>
        </is>
      </c>
      <c r="F21" s="0" t="inlineStr">
        <is>
          <t>["巴勒斯坦-LoRa"]</t>
        </is>
      </c>
      <c r="G21" s="0" t="inlineStr">
        <is>
          <t>{}</t>
        </is>
      </c>
      <c r="H21" s="0" t="inlineStr">
        <is>
          <t>{}</t>
        </is>
      </c>
      <c r="I21" s="0" t="inlineStr">
        <is>
          <t>rejected</t>
        </is>
      </c>
      <c r="J21" s="0" t="inlineStr"/>
      <c r="K21" s="0" t="inlineStr">
        <is>
          <t>xjq</t>
        </is>
      </c>
      <c r="L21" s="0" t="inlineStr">
        <is>
          <t>2026-07-23T10:57:40.058859</t>
        </is>
      </c>
    </row>
    <row r="22">
      <c r="A22" s="0" t="inlineStr">
        <is>
          <t>OP-20260723-021</t>
        </is>
      </c>
      <c r="B22" s="0" t="inlineStr">
        <is>
          <t>2026-07-23T10:59:28.957789</t>
        </is>
      </c>
      <c r="C22" s="0" t="inlineStr">
        <is>
          <t>mwh</t>
        </is>
      </c>
      <c r="D22" s="0" t="inlineStr">
        <is>
          <t>edit</t>
        </is>
      </c>
      <c r="E22" s="0" t="inlineStr">
        <is>
          <t>[153]</t>
        </is>
      </c>
      <c r="F22" s="0" t="inlineStr">
        <is>
          <t>["巴勒斯坦超声户表二开"]</t>
        </is>
      </c>
      <c r="G22" s="0" t="inlineStr">
        <is>
          <t>{"部门": "亚洲", "项目": "巴勒斯坦超声户表二开", "项目描述": "TR4A", "资源类型": "样机制作", "资源名称": "文春英", "资源开始时间": "2026-07-28", "资源结束时间": "2026-08-30", "日平均工时": 2}</t>
        </is>
      </c>
      <c r="H22" s="0" t="inlineStr">
        <is>
          <t>{"部门": "亚洲", "项目": "巴勒斯坦超声户表二开", "项目描述": "TR4A", "资源类型": "样机制作", "资源名称": "文春英", "资源开始时间": "2026-07-28", "资源结束时间": "2026-07-31", "日平均工时": 2}</t>
        </is>
      </c>
      <c r="I22" s="0" t="inlineStr">
        <is>
          <t>approved</t>
        </is>
      </c>
      <c r="J22" s="0" t="inlineStr"/>
      <c r="K22" s="0" t="inlineStr">
        <is>
          <t>xjq</t>
        </is>
      </c>
      <c r="L22" s="0" t="inlineStr">
        <is>
          <t>2026-07-23T10:59:55.551441</t>
        </is>
      </c>
    </row>
    <row r="23">
      <c r="A23" s="0" t="inlineStr">
        <is>
          <t>OP-20260723-022</t>
        </is>
      </c>
      <c r="B23" s="0" t="inlineStr">
        <is>
          <t>2026-07-23T11:01:27.658035</t>
        </is>
      </c>
      <c r="C23" s="0" t="inlineStr">
        <is>
          <t>mwh</t>
        </is>
      </c>
      <c r="D23" s="0" t="inlineStr">
        <is>
          <t>edit</t>
        </is>
      </c>
      <c r="E23" s="0" t="inlineStr">
        <is>
          <t>[156]</t>
        </is>
      </c>
      <c r="F23" s="0" t="inlineStr">
        <is>
          <t>["巴勒斯坦超声户表二开"]</t>
        </is>
      </c>
      <c r="G23" s="0" t="inlineStr">
        <is>
          <t>{"部门": "亚洲", "项目": "巴勒斯坦超声户表二开", "项目描述": "TR4A", "资源类型": "测试报告评审", "资源名称": "袁知正", "资源开始时间": "2026-08-12", "资源结束时间": "2026-08-13", "日平均工时": 1}</t>
        </is>
      </c>
      <c r="H23" s="0" t="inlineStr">
        <is>
          <t>{"部门": "亚洲", "项目": "巴勒斯坦超声户表二开", "项目描述": "TR4A", "资源类型": "测试报告评审", "资源名称": "袁知正", "资源开始时间": "2026-08-14", "资源结束时间": "2026-08-14", "日平均工时": 1}</t>
        </is>
      </c>
      <c r="I23" s="0" t="inlineStr">
        <is>
          <t>approved</t>
        </is>
      </c>
      <c r="J23" s="0" t="inlineStr"/>
      <c r="K23" s="0" t="inlineStr">
        <is>
          <t>xjq</t>
        </is>
      </c>
      <c r="L23" s="0" t="inlineStr">
        <is>
          <t>2026-07-23T11:01:50.452723</t>
        </is>
      </c>
    </row>
    <row r="24">
      <c r="A24" s="0" t="inlineStr">
        <is>
          <t>OP-20260723-023</t>
        </is>
      </c>
      <c r="B24" s="0" t="inlineStr">
        <is>
          <t>2026-07-23T11:12:56.838330</t>
        </is>
      </c>
      <c r="C24" s="0" t="inlineStr">
        <is>
          <t>mwh</t>
        </is>
      </c>
      <c r="D24" s="0" t="inlineStr">
        <is>
          <t>archive</t>
        </is>
      </c>
      <c r="E24" s="0" t="inlineStr">
        <is>
          <t>[49]</t>
        </is>
      </c>
      <c r="F24" s="0" t="inlineStr">
        <is>
          <t>["巴勒斯坦-LoRa"]</t>
        </is>
      </c>
      <c r="G24" s="0" t="inlineStr">
        <is>
          <t>{"部门": "亚洲", "项目": "巴勒斯坦-LoRa", "项目描述": "", "资源类型": "固件工程师-测试跟踪", "资源名称": "毛文豪", "资源开始时间": "2026-07-25", "资源结束时间": "2026-08-09", "日平均工时": 2}</t>
        </is>
      </c>
      <c r="H24" s="0" t="inlineStr">
        <is>
          <t>{}</t>
        </is>
      </c>
      <c r="I24" s="0" t="inlineStr">
        <is>
          <t>approved</t>
        </is>
      </c>
      <c r="J24" s="0" t="inlineStr"/>
      <c r="K24" s="0" t="inlineStr">
        <is>
          <t>xjq</t>
        </is>
      </c>
      <c r="L24" s="0" t="inlineStr">
        <is>
          <t>2026-07-23T11:13:37.533964</t>
        </is>
      </c>
    </row>
    <row r="25">
      <c r="A25" s="0" t="inlineStr">
        <is>
          <t>OP-20260724-001</t>
        </is>
      </c>
      <c r="B25" s="0" t="inlineStr">
        <is>
          <t>2026-07-24T05:22:56.185041</t>
        </is>
      </c>
      <c r="C25" s="0" t="inlineStr">
        <is>
          <t>zky</t>
        </is>
      </c>
      <c r="D25" s="0" t="inlineStr">
        <is>
          <t>edit</t>
        </is>
      </c>
      <c r="E25" s="0" t="inlineStr">
        <is>
          <t>[13]</t>
        </is>
      </c>
      <c r="F25" s="0" t="inlineStr">
        <is>
          <t>["巴西脉冲-V3"]</t>
        </is>
      </c>
      <c r="G25" s="0" t="inlineStr">
        <is>
          <t>{"部门": "巴西经营中心", "项目": "巴西脉冲-V3", "项目描述": "", "资源类型": "固件工程师-开发", "资源名称": "朱葵阳", "资源开始时间": "1900-01-01", "资源结束时间": "2026-07-22", "日平均工时": 8}</t>
        </is>
      </c>
      <c r="H25" s="0" t="inlineStr">
        <is>
          <t>{"部门": "巴西经营中心", "项目": "巴西脉冲-V3", "项目描述": "", "资源类型": "固件工程师-开发", "资源名称": "朱葵阳", "资源开始时间": "1900-01-01", "资源结束时间": "2026-07-30", "日平均工时": 8}</t>
        </is>
      </c>
      <c r="I25" s="0" t="inlineStr">
        <is>
          <t>approved</t>
        </is>
      </c>
      <c r="J25" s="0" t="inlineStr"/>
      <c r="K25" s="0" t="inlineStr">
        <is>
          <t>xjq</t>
        </is>
      </c>
      <c r="L25" s="0" t="inlineStr">
        <is>
          <t>2026-07-24T05:56:31.771530</t>
        </is>
      </c>
    </row>
    <row r="26">
      <c r="A26" s="0" t="inlineStr">
        <is>
          <t>OP-20260724-002</t>
        </is>
      </c>
      <c r="B26" s="0" t="inlineStr">
        <is>
          <t>2026-07-24T12:45:03.385353</t>
        </is>
      </c>
      <c r="C26" s="0" t="inlineStr">
        <is>
          <t>dajinyu</t>
        </is>
      </c>
      <c r="D26" s="0" t="inlineStr">
        <is>
          <t>archive</t>
        </is>
      </c>
      <c r="E26" s="0" t="inlineStr">
        <is>
          <t>[24]</t>
        </is>
      </c>
      <c r="F26" s="0" t="inlineStr">
        <is>
          <t>["巴西LoRa-Walkby方案"]</t>
        </is>
      </c>
      <c r="G26" s="0" t="inlineStr">
        <is>
          <t>{"部门": "巴西经营中心", "项目": "巴西LoRa-Walkby方案", "项目描述": "TAG26帧修改", "资源类型": "固件工程师", "资源名称": "答金雨", "资源开始时间": "2026-07-03", "资源结束时间": "2026-07-30", "日平均工时": 2}</t>
        </is>
      </c>
      <c r="H26" s="0" t="inlineStr">
        <is>
          <t>{}</t>
        </is>
      </c>
      <c r="I26" s="0" t="inlineStr">
        <is>
          <t>approved</t>
        </is>
      </c>
      <c r="J26" s="0" t="inlineStr"/>
      <c r="K26" s="0" t="inlineStr">
        <is>
          <t>xjq</t>
        </is>
      </c>
      <c r="L26" s="0" t="inlineStr">
        <is>
          <t>2026-07-24T12:46:10.975588</t>
        </is>
      </c>
    </row>
    <row r="27">
      <c r="A27" s="0" t="inlineStr">
        <is>
          <t>OP-20260725-001</t>
        </is>
      </c>
      <c r="B27" s="0" t="inlineStr">
        <is>
          <t>2026-07-25T07:14:52.533144</t>
        </is>
      </c>
      <c r="C27" s="0" t="inlineStr">
        <is>
          <t>xjq</t>
        </is>
      </c>
      <c r="D27" s="0" t="inlineStr">
        <is>
          <t>requirement_submit</t>
        </is>
      </c>
      <c r="E27" s="0" t="inlineStr">
        <is>
          <t>[]</t>
        </is>
      </c>
      <c r="F27" s="0" t="inlineStr">
        <is>
          <t>["测试需求"]</t>
        </is>
      </c>
      <c r="G27" s="0" t="inlineStr">
        <is>
          <t>{}</t>
        </is>
      </c>
      <c r="H27" s="0" t="inlineStr">
        <is>
          <t>{"status": "submitted"}</t>
        </is>
      </c>
      <c r="I27" s="0" t="inlineStr">
        <is>
          <t>direct</t>
        </is>
      </c>
      <c r="J27" s="0" t="inlineStr"/>
      <c r="K27" s="0" t="inlineStr"/>
      <c r="L27" s="0" t="inlineStr"/>
    </row>
    <row r="28">
      <c r="A28" s="0" t="inlineStr">
        <is>
          <t>OP-20260727-001</t>
        </is>
      </c>
      <c r="B28" s="0" t="inlineStr">
        <is>
          <t>2026-07-27T00:21:57.938181</t>
        </is>
      </c>
      <c r="C28" s="0" t="inlineStr">
        <is>
          <t>xjq</t>
        </is>
      </c>
      <c r="D28" s="0" t="inlineStr">
        <is>
          <t>requirement_submit</t>
        </is>
      </c>
      <c r="E28" s="0" t="inlineStr">
        <is>
          <t>[]</t>
        </is>
      </c>
      <c r="F28" s="0" t="inlineStr">
        <is>
          <t>["测试需求"]</t>
        </is>
      </c>
      <c r="G28" s="0" t="inlineStr">
        <is>
          <t>{}</t>
        </is>
      </c>
      <c r="H28" s="0" t="inlineStr">
        <is>
          <t>{"status": "submitted"}</t>
        </is>
      </c>
      <c r="I28" s="0" t="inlineStr">
        <is>
          <t>direct</t>
        </is>
      </c>
      <c r="J28" s="0" t="inlineStr"/>
      <c r="K28" s="0" t="inlineStr"/>
      <c r="L28" s="0" t="inlineStr"/>
    </row>
    <row r="29">
      <c r="A29" s="0" t="inlineStr">
        <is>
          <t>OP-20260727-002</t>
        </is>
      </c>
      <c r="B29" s="0" t="inlineStr">
        <is>
          <t>2026-07-27T00:22:16.731376</t>
        </is>
      </c>
      <c r="C29" s="0" t="inlineStr">
        <is>
          <t>xjq</t>
        </is>
      </c>
      <c r="D29" s="0" t="inlineStr">
        <is>
          <t>requirement_reject</t>
        </is>
      </c>
      <c r="E29" s="0" t="inlineStr">
        <is>
          <t>[]</t>
        </is>
      </c>
      <c r="F29" s="0" t="inlineStr">
        <is>
          <t>["测试需求"]</t>
        </is>
      </c>
      <c r="G29" s="0" t="inlineStr">
        <is>
          <t>{"status": "submitted"}</t>
        </is>
      </c>
      <c r="H29" s="0" t="inlineStr">
        <is>
          <t>{"status": "deleted", "拒绝原因": "测试拒绝"}</t>
        </is>
      </c>
      <c r="I29" s="0" t="inlineStr">
        <is>
          <t>direct</t>
        </is>
      </c>
      <c r="J29" s="0" t="inlineStr"/>
      <c r="K29" s="0" t="inlineStr"/>
      <c r="L29" s="0" t="inlineStr"/>
    </row>
    <row r="30">
      <c r="A30" s="0" t="inlineStr">
        <is>
          <t>OP-20260727-003</t>
        </is>
      </c>
      <c r="B30" s="0" t="inlineStr">
        <is>
          <t>2026-07-27T00:23:49.827749</t>
        </is>
      </c>
      <c r="C30" s="0" t="inlineStr">
        <is>
          <t>xjq</t>
        </is>
      </c>
      <c r="D30" s="0" t="inlineStr">
        <is>
          <t>requirement_delete</t>
        </is>
      </c>
      <c r="E30" s="0" t="inlineStr">
        <is>
          <t>[]</t>
        </is>
      </c>
      <c r="F30" s="0" t="inlineStr">
        <is>
          <t>["[已删除]"]</t>
        </is>
      </c>
      <c r="G30" s="0" t="inlineStr">
        <is>
          <t>{"status": "deleted"}</t>
        </is>
      </c>
      <c r="H30" s="0" t="inlineStr">
        <is>
          <t>{"status": "deleted"}</t>
        </is>
      </c>
      <c r="I30" s="0" t="inlineStr">
        <is>
          <t>direct</t>
        </is>
      </c>
      <c r="J30" s="0" t="inlineStr"/>
      <c r="K30" s="0" t="inlineStr"/>
      <c r="L30" s="0" t="inlineStr"/>
    </row>
    <row r="31">
      <c r="A31" s="0" t="inlineStr">
        <is>
          <t>OP-20260727-004</t>
        </is>
      </c>
      <c r="B31" s="0" t="inlineStr">
        <is>
          <t>2026-07-27T00:24:14.038420</t>
        </is>
      </c>
      <c r="C31" s="0" t="inlineStr">
        <is>
          <t>xjq-cs</t>
        </is>
      </c>
      <c r="D31" s="0" t="inlineStr">
        <is>
          <t>requirement_submit</t>
        </is>
      </c>
      <c r="E31" s="0" t="inlineStr">
        <is>
          <t>[]</t>
        </is>
      </c>
      <c r="F31" s="0" t="inlineStr">
        <is>
          <t>["测试需求-2"]</t>
        </is>
      </c>
      <c r="G31" s="0" t="inlineStr">
        <is>
          <t>{}</t>
        </is>
      </c>
      <c r="H31" s="0" t="inlineStr">
        <is>
          <t>{"status": "submitted"}</t>
        </is>
      </c>
      <c r="I31" s="0" t="inlineStr">
        <is>
          <t>direct</t>
        </is>
      </c>
      <c r="J31" s="0" t="inlineStr"/>
      <c r="K31" s="0" t="inlineStr"/>
      <c r="L31" s="0" t="inlineStr"/>
    </row>
    <row r="32">
      <c r="A32" s="0" t="inlineStr">
        <is>
          <t>OP-20260727-005</t>
        </is>
      </c>
      <c r="B32" s="0" t="inlineStr">
        <is>
          <t>2026-07-27T00:25:46.738610</t>
        </is>
      </c>
      <c r="C32" s="0" t="inlineStr">
        <is>
          <t>xjq-cs</t>
        </is>
      </c>
      <c r="D32" s="0" t="inlineStr">
        <is>
          <t>archive</t>
        </is>
      </c>
      <c r="E32" s="0" t="inlineStr">
        <is>
          <t>[216]</t>
        </is>
      </c>
      <c r="F32" s="0" t="inlineStr">
        <is>
          <t>["TEST demand"]</t>
        </is>
      </c>
      <c r="G32" s="0" t="inlineStr">
        <is>
          <t>{"部门": "测试", "项目": "TEST demand", "项目描述": "新增", "资源类型": "项目经理", "资源名称": "项家祺", "资源开始时间": "2026-07-25", "资源结束时间": "2026-07-25", "日平均工时": 8}</t>
        </is>
      </c>
      <c r="H32" s="0" t="inlineStr">
        <is>
          <t>{}</t>
        </is>
      </c>
      <c r="I32" s="0" t="inlineStr">
        <is>
          <t>approved</t>
        </is>
      </c>
      <c r="J32" s="0" t="inlineStr"/>
      <c r="K32" s="0" t="inlineStr">
        <is>
          <t>xjq</t>
        </is>
      </c>
      <c r="L32" s="0" t="inlineStr">
        <is>
          <t>2026-07-27T00:29:26.126991</t>
        </is>
      </c>
    </row>
    <row r="33">
      <c r="A33" s="0" t="inlineStr">
        <is>
          <t>OP-20260727-006</t>
        </is>
      </c>
      <c r="B33" s="0" t="inlineStr">
        <is>
          <t>2026-07-27T00:26:10.833371</t>
        </is>
      </c>
      <c r="C33" s="0" t="inlineStr">
        <is>
          <t>xjq-cs</t>
        </is>
      </c>
      <c r="D33" s="0" t="inlineStr">
        <is>
          <t>archive</t>
        </is>
      </c>
      <c r="E33" s="0" t="inlineStr">
        <is>
          <t>[217]</t>
        </is>
      </c>
      <c r="F33" s="0" t="inlineStr">
        <is>
          <t>["TEST demand"]</t>
        </is>
      </c>
      <c r="G33" s="0" t="inlineStr">
        <is>
          <t>{"部门": "测试", "项目": "TEST demand", "项目描述": "2", "资源类型": "项目CHAT", "资源名称": "项家祺", "资源开始时间": "2026-07-25", "资源结束时间": "2026-07-25", "日平均工时": 8}</t>
        </is>
      </c>
      <c r="H33" s="0" t="inlineStr">
        <is>
          <t>{}</t>
        </is>
      </c>
      <c r="I33" s="0" t="inlineStr">
        <is>
          <t>approved</t>
        </is>
      </c>
      <c r="J33" s="0" t="inlineStr"/>
      <c r="K33" s="0" t="inlineStr">
        <is>
          <t>xjq</t>
        </is>
      </c>
      <c r="L33" s="0" t="inlineStr">
        <is>
          <t>2026-07-27T00:28:46.528678</t>
        </is>
      </c>
    </row>
    <row r="34">
      <c r="A34" s="0" t="inlineStr">
        <is>
          <t>OP-20260727-007</t>
        </is>
      </c>
      <c r="B34" s="0" t="inlineStr">
        <is>
          <t>2026-07-27T00:27:06.735835</t>
        </is>
      </c>
      <c r="C34" s="0" t="inlineStr">
        <is>
          <t>xjq</t>
        </is>
      </c>
      <c r="D34" s="0" t="inlineStr">
        <is>
          <t>requirement_link_projects</t>
        </is>
      </c>
      <c r="E34" s="0" t="inlineStr">
        <is>
          <t>[]</t>
        </is>
      </c>
      <c r="F34" s="0" t="inlineStr">
        <is>
          <t>["测试需求-2"]</t>
        </is>
      </c>
      <c r="G34" s="0" t="inlineStr">
        <is>
          <t>{"linked_projects": ["测试看板"]}</t>
        </is>
      </c>
      <c r="H34" s="0" t="inlineStr">
        <is>
          <t>{"linked_projects": ["测试看板"]}</t>
        </is>
      </c>
      <c r="I34" s="0" t="inlineStr">
        <is>
          <t>direct</t>
        </is>
      </c>
      <c r="J34" s="0" t="inlineStr"/>
      <c r="K34" s="0" t="inlineStr"/>
      <c r="L34" s="0" t="inlineStr"/>
    </row>
    <row r="35">
      <c r="A35" s="0" t="inlineStr">
        <is>
          <t>OP-20260727-008</t>
        </is>
      </c>
      <c r="B35" s="0" t="inlineStr">
        <is>
          <t>2026-07-27T05:40:52.435980</t>
        </is>
      </c>
      <c r="C35" s="0" t="inlineStr">
        <is>
          <t>xjq</t>
        </is>
      </c>
      <c r="D35" s="0" t="inlineStr">
        <is>
          <t>requirement_submit</t>
        </is>
      </c>
      <c r="E35" s="0" t="inlineStr">
        <is>
          <t>[]</t>
        </is>
      </c>
      <c r="F35" s="0" t="inlineStr">
        <is>
          <t>["测试需求看板"]</t>
        </is>
      </c>
      <c r="G35" s="0" t="inlineStr">
        <is>
          <t>{}</t>
        </is>
      </c>
      <c r="H35" s="0" t="inlineStr">
        <is>
          <t>{"status": "submitted"}</t>
        </is>
      </c>
      <c r="I35" s="0" t="inlineStr">
        <is>
          <t>direct</t>
        </is>
      </c>
      <c r="J35" s="0" t="inlineStr"/>
      <c r="K35" s="0" t="inlineStr"/>
      <c r="L35" s="0" t="inlineStr"/>
    </row>
    <row r="36">
      <c r="A36" s="0" t="inlineStr">
        <is>
          <t>OP-20260727-009</t>
        </is>
      </c>
      <c r="B36" s="0" t="inlineStr">
        <is>
          <t>2026-07-27T05:41:11.752094</t>
        </is>
      </c>
      <c r="C36" s="0" t="inlineStr">
        <is>
          <t>xjq</t>
        </is>
      </c>
      <c r="D36" s="0" t="inlineStr">
        <is>
          <t>requirement_link_projects</t>
        </is>
      </c>
      <c r="E36" s="0" t="inlineStr">
        <is>
          <t>[]</t>
        </is>
      </c>
      <c r="F36" s="0" t="inlineStr">
        <is>
          <t>["测试需求看板"]</t>
        </is>
      </c>
      <c r="G36" s="0" t="inlineStr">
        <is>
          <t>{"linked_projects": []}</t>
        </is>
      </c>
      <c r="H36" s="0" t="inlineStr">
        <is>
          <t>{"linked_projects": ["测试看板"]}</t>
        </is>
      </c>
      <c r="I36" s="0" t="inlineStr">
        <is>
          <t>direct</t>
        </is>
      </c>
      <c r="J36" s="0" t="inlineStr"/>
      <c r="K36" s="0" t="inlineStr"/>
      <c r="L36" s="0" t="inlineStr"/>
    </row>
    <row r="37">
      <c r="A37" s="0" t="inlineStr">
        <is>
          <t>OP-20260727-010</t>
        </is>
      </c>
      <c r="B37" s="0" t="inlineStr">
        <is>
          <t>2026-07-27T05:41:16.125646</t>
        </is>
      </c>
      <c r="C37" s="0" t="inlineStr">
        <is>
          <t>xjq</t>
        </is>
      </c>
      <c r="D37" s="0" t="inlineStr">
        <is>
          <t>requirement_accept</t>
        </is>
      </c>
      <c r="E37" s="0" t="inlineStr">
        <is>
          <t>[]</t>
        </is>
      </c>
      <c r="F37" s="0" t="inlineStr">
        <is>
          <t>["测试需求看板"]</t>
        </is>
      </c>
      <c r="G37" s="0" t="inlineStr">
        <is>
          <t>{"status": "submitted"}</t>
        </is>
      </c>
      <c r="H37" s="0" t="inlineStr">
        <is>
          <t>{"status": "accepted"}</t>
        </is>
      </c>
      <c r="I37" s="0" t="inlineStr">
        <is>
          <t>direct</t>
        </is>
      </c>
      <c r="J37" s="0" t="inlineStr"/>
      <c r="K37" s="0" t="inlineStr"/>
      <c r="L37" s="0" t="inlineStr"/>
    </row>
    <row r="38">
      <c r="A38" s="0" t="inlineStr">
        <is>
          <t>OP-20260727-011</t>
        </is>
      </c>
      <c r="B38" s="0" t="inlineStr">
        <is>
          <t>2026-07-27T05:50:34.312709</t>
        </is>
      </c>
      <c r="C38" s="0" t="inlineStr">
        <is>
          <t>xjq</t>
        </is>
      </c>
      <c r="D38" s="0" t="inlineStr">
        <is>
          <t>requirement_archive</t>
        </is>
      </c>
      <c r="E38" s="0" t="inlineStr">
        <is>
          <t>[]</t>
        </is>
      </c>
      <c r="F38" s="0" t="inlineStr">
        <is>
          <t>["测试需求看板"]</t>
        </is>
      </c>
      <c r="G38" s="0" t="inlineStr">
        <is>
          <t>{"status": "accepted"}</t>
        </is>
      </c>
      <c r="H38" s="0" t="inlineStr">
        <is>
          <t>{"status": "archived"}</t>
        </is>
      </c>
      <c r="I38" s="0" t="inlineStr">
        <is>
          <t>direct</t>
        </is>
      </c>
      <c r="J38" s="0" t="inlineStr"/>
      <c r="K38" s="0" t="inlineStr"/>
      <c r="L38" s="0" t="inlineStr"/>
    </row>
    <row r="39">
      <c r="A39" s="0" t="inlineStr">
        <is>
          <t>OP-20260727-012</t>
        </is>
      </c>
      <c r="B39" s="0" t="inlineStr">
        <is>
          <t>2026-07-27T05:52:01.700756</t>
        </is>
      </c>
      <c r="C39" s="0" t="inlineStr">
        <is>
          <t>xjq</t>
        </is>
      </c>
      <c r="D39" s="0" t="inlineStr">
        <is>
          <t>requirement_submit</t>
        </is>
      </c>
      <c r="E39" s="0" t="inlineStr">
        <is>
          <t>[]</t>
        </is>
      </c>
      <c r="F39" s="0" t="inlineStr">
        <is>
          <t>["测试需求看板"]</t>
        </is>
      </c>
      <c r="G39" s="0" t="inlineStr">
        <is>
          <t>{}</t>
        </is>
      </c>
      <c r="H39" s="0" t="inlineStr">
        <is>
          <t>{"status": "submitted"}</t>
        </is>
      </c>
      <c r="I39" s="0" t="inlineStr">
        <is>
          <t>direct</t>
        </is>
      </c>
      <c r="J39" s="0" t="inlineStr"/>
      <c r="K39" s="0" t="inlineStr"/>
      <c r="L39" s="0" t="inlineStr"/>
    </row>
    <row r="40">
      <c r="A40" s="0" t="inlineStr">
        <is>
          <t>OP-20260727-013</t>
        </is>
      </c>
      <c r="B40" s="0" t="inlineStr">
        <is>
          <t>2026-07-27T05:52:14.517231</t>
        </is>
      </c>
      <c r="C40" s="0" t="inlineStr">
        <is>
          <t>xjq</t>
        </is>
      </c>
      <c r="D40" s="0" t="inlineStr">
        <is>
          <t>requirement_delete</t>
        </is>
      </c>
      <c r="E40" s="0" t="inlineStr">
        <is>
          <t>[]</t>
        </is>
      </c>
      <c r="F40" s="0" t="inlineStr">
        <is>
          <t>["[已删除]"]</t>
        </is>
      </c>
      <c r="G40" s="0" t="inlineStr">
        <is>
          <t>{"status": "submitted"}</t>
        </is>
      </c>
      <c r="H40" s="0" t="inlineStr">
        <is>
          <t>{"status": "deleted"}</t>
        </is>
      </c>
      <c r="I40" s="0" t="inlineStr">
        <is>
          <t>direct</t>
        </is>
      </c>
      <c r="J40" s="0" t="inlineStr"/>
      <c r="K40" s="0" t="inlineStr"/>
      <c r="L40" s="0" t="inlineStr"/>
    </row>
    <row r="41">
      <c r="A41" s="0" t="inlineStr">
        <is>
          <t>OP-20260727-014</t>
        </is>
      </c>
      <c r="B41" s="0" t="inlineStr">
        <is>
          <t>2026-07-27T05:53:09.419108</t>
        </is>
      </c>
      <c r="C41" s="0" t="inlineStr">
        <is>
          <t>xjq</t>
        </is>
      </c>
      <c r="D41" s="0" t="inlineStr">
        <is>
          <t>requirement_delete</t>
        </is>
      </c>
      <c r="E41" s="0" t="inlineStr">
        <is>
          <t>[]</t>
        </is>
      </c>
      <c r="F41" s="0" t="inlineStr">
        <is>
          <t>["[已删除]"]</t>
        </is>
      </c>
      <c r="G41" s="0" t="inlineStr">
        <is>
          <t>{"status": "deleted"}</t>
        </is>
      </c>
      <c r="H41" s="0" t="inlineStr">
        <is>
          <t>{"status": "deleted"}</t>
        </is>
      </c>
      <c r="I41" s="0" t="inlineStr">
        <is>
          <t>direct</t>
        </is>
      </c>
      <c r="J41" s="0" t="inlineStr"/>
      <c r="K41" s="0" t="inlineStr"/>
      <c r="L41" s="0" t="inlineStr"/>
    </row>
    <row r="42">
      <c r="A42" s="0" t="inlineStr">
        <is>
          <t>OP-20260727-015</t>
        </is>
      </c>
      <c r="B42" s="0" t="inlineStr">
        <is>
          <t>2026-07-27T05:54:36.691535</t>
        </is>
      </c>
      <c r="C42" s="0" t="inlineStr">
        <is>
          <t>xjq</t>
        </is>
      </c>
      <c r="D42" s="0" t="inlineStr">
        <is>
          <t>requirement_reject</t>
        </is>
      </c>
      <c r="E42" s="0" t="inlineStr">
        <is>
          <t>[]</t>
        </is>
      </c>
      <c r="F42" s="0" t="inlineStr">
        <is>
          <t>["测试需求看板"]</t>
        </is>
      </c>
      <c r="G42" s="0" t="inlineStr">
        <is>
          <t>{"status": "archived"}</t>
        </is>
      </c>
      <c r="H42" s="0" t="inlineStr">
        <is>
          <t>{"status": "submitted", "拒绝原因": "1234"}</t>
        </is>
      </c>
      <c r="I42" s="0" t="inlineStr">
        <is>
          <t>direct</t>
        </is>
      </c>
      <c r="J42" s="0" t="inlineStr"/>
      <c r="K42" s="0" t="inlineStr"/>
      <c r="L42" s="0" t="inlineStr"/>
    </row>
    <row r="43">
      <c r="A43" s="0" t="inlineStr">
        <is>
          <t>OP-20260727-016</t>
        </is>
      </c>
      <c r="B43" s="0" t="inlineStr">
        <is>
          <t>2026-07-27T05:54:48.728277</t>
        </is>
      </c>
      <c r="C43" s="0" t="inlineStr">
        <is>
          <t>xjq</t>
        </is>
      </c>
      <c r="D43" s="0" t="inlineStr">
        <is>
          <t>requirement_reject</t>
        </is>
      </c>
      <c r="E43" s="0" t="inlineStr">
        <is>
          <t>[]</t>
        </is>
      </c>
      <c r="F43" s="0" t="inlineStr">
        <is>
          <t>["测试需求看板"]</t>
        </is>
      </c>
      <c r="G43" s="0" t="inlineStr">
        <is>
          <t>{"status": "submitted"}</t>
        </is>
      </c>
      <c r="H43" s="0" t="inlineStr">
        <is>
          <t>{"status": "deleted", "拒绝原因": "123"}</t>
        </is>
      </c>
      <c r="I43" s="0" t="inlineStr">
        <is>
          <t>direct</t>
        </is>
      </c>
      <c r="J43" s="0" t="inlineStr"/>
      <c r="K43" s="0" t="inlineStr"/>
      <c r="L43" s="0" t="inlineStr"/>
    </row>
    <row r="44">
      <c r="A44" s="0" t="inlineStr">
        <is>
          <t>OP-20260727-017</t>
        </is>
      </c>
      <c r="B44" s="0" t="inlineStr">
        <is>
          <t>2026-07-27T06:04:41.301748</t>
        </is>
      </c>
      <c r="C44" s="0" t="inlineStr">
        <is>
          <t>xjq-cs</t>
        </is>
      </c>
      <c r="D44" s="0" t="inlineStr">
        <is>
          <t>archive</t>
        </is>
      </c>
      <c r="E44" s="0" t="inlineStr">
        <is>
          <t>[149]</t>
        </is>
      </c>
      <c r="F44" s="0" t="inlineStr">
        <is>
          <t>["巴勒斯坦超声户表二开"]</t>
        </is>
      </c>
      <c r="G44" s="0" t="inlineStr">
        <is>
          <t>{"部门": "亚洲", "项目": "巴勒斯坦超声户表二开", "项目描述": "TR3", "资源类型": "巴勒斯坦二开SE文档评审", "资源名称": "毛文豪", "资源开始时间": "2026-07-21", "资源结束时间": "2026-07-23", "日平均工时": 8}</t>
        </is>
      </c>
      <c r="H44" s="0" t="inlineStr">
        <is>
          <t>{}</t>
        </is>
      </c>
      <c r="I44" s="0" t="inlineStr">
        <is>
          <t>approved</t>
        </is>
      </c>
      <c r="J44" s="0" t="inlineStr"/>
      <c r="K44" s="0" t="inlineStr">
        <is>
          <t>xjq</t>
        </is>
      </c>
      <c r="L44" s="0" t="inlineStr">
        <is>
          <t>2026-07-27T06:05:42.595540</t>
        </is>
      </c>
    </row>
    <row r="45">
      <c r="A45" s="0" t="inlineStr">
        <is>
          <t>OP-20260728-001</t>
        </is>
      </c>
      <c r="B45" s="0" t="inlineStr">
        <is>
          <t>2026-07-28T01:33:47.088262</t>
        </is>
      </c>
      <c r="C45" s="0" t="inlineStr">
        <is>
          <t>wyh</t>
        </is>
      </c>
      <c r="D45" s="0" t="inlineStr">
        <is>
          <t>edit</t>
        </is>
      </c>
      <c r="E45" s="0" t="inlineStr">
        <is>
          <t>[52]</t>
        </is>
      </c>
      <c r="F45" s="0" t="inlineStr">
        <is>
          <t>["沙特-NB水表"]</t>
        </is>
      </c>
      <c r="G45" s="0" t="inlineStr">
        <is>
          <t>{"部门": "中东", "项目": "沙特-NB水表", "项目描述": "预研阶段", "资源类型": "固件工程师-压力传感器学习", "资源名称": "魏殷浩", "资源开始时间": "2026-07-07", "资源结束时间": "2026-07-10", "日平均工时": 6}</t>
        </is>
      </c>
      <c r="H45" s="0" t="inlineStr">
        <is>
          <t>{"部门": "中东", "项目": "沙特-NB水表", "项目描述": "预研阶段", "资源类型": "固件工程师-压力传感器I2C功能测试", "资源名称": "魏殷浩", "资源开始时间": "2026-07-28", "资源结束时间": "2026-07-31", "日平均工时": 6}</t>
        </is>
      </c>
      <c r="I45" s="0" t="inlineStr">
        <is>
          <t>pending</t>
        </is>
      </c>
      <c r="J45" s="0" t="inlineStr"/>
      <c r="K45" s="0" t="inlineStr"/>
      <c r="L45" s="0" t="inlineStr"/>
    </row>
    <row r="46">
      <c r="A46" s="0" t="inlineStr">
        <is>
          <t>OP-20260728-002</t>
        </is>
      </c>
      <c r="B46" s="0" t="inlineStr">
        <is>
          <t>2026-07-28T01:34:29.490633</t>
        </is>
      </c>
      <c r="C46" s="0" t="inlineStr">
        <is>
          <t>wyh</t>
        </is>
      </c>
      <c r="D46" s="0" t="inlineStr">
        <is>
          <t>edit</t>
        </is>
      </c>
      <c r="E46" s="0" t="inlineStr">
        <is>
          <t>[53]</t>
        </is>
      </c>
      <c r="F46" s="0" t="inlineStr">
        <is>
          <t>["沙特-NB水表"]</t>
        </is>
      </c>
      <c r="G46" s="0" t="inlineStr">
        <is>
          <t>{"部门": "中东", "项目": "沙特-NB水表", "项目描述": "预研阶段", "资源类型": "固件工程师-压力传感器驱动开发", "资源名称": "魏殷浩", "资源开始时间": "2026-07-20", "资源结束时间": "2026-07-31", "日平均工时": 7}</t>
        </is>
      </c>
      <c r="H46" s="0" t="inlineStr">
        <is>
          <t>{"部门": "中东", "项目": "沙特-NB水表", "项目描述": "预研阶段", "资源类型": "固件工程师-压力传感器驱动开发", "资源名称": "魏殷浩", "资源开始时间": "2026-08-01", "资源结束时间": "2026-08-20", "日平均工时": 7}</t>
        </is>
      </c>
      <c r="I46" s="0" t="inlineStr">
        <is>
          <t>pending</t>
        </is>
      </c>
      <c r="J46" s="0" t="inlineStr"/>
      <c r="K46" s="0" t="inlineStr"/>
      <c r="L46" s="0" t="inlineStr"/>
    </row>
    <row r="47">
      <c r="A47" s="0" t="inlineStr">
        <is>
          <t>OP-20260728-003</t>
        </is>
      </c>
      <c r="B47" s="0" t="inlineStr">
        <is>
          <t>2026-07-28T02:02:20.086050</t>
        </is>
      </c>
      <c r="C47" s="0" t="inlineStr">
        <is>
          <t>wyh</t>
        </is>
      </c>
      <c r="D47" s="0" t="inlineStr">
        <is>
          <t>edit</t>
        </is>
      </c>
      <c r="E47" s="0" t="inlineStr">
        <is>
          <t>[52]</t>
        </is>
      </c>
      <c r="F47" s="0" t="inlineStr">
        <is>
          <t>["沙特-NB水表"]</t>
        </is>
      </c>
      <c r="G47" s="0" t="inlineStr">
        <is>
          <t>{"部门": "中东", "项目": "沙特-NB水表", "项目描述": "预研阶段", "资源类型": "固件工程师-压力传感器学习", "资源名称": "魏殷浩", "资源开始时间": "2026-07-07", "资源结束时间": "2026-07-10", "日平均工时": 6}</t>
        </is>
      </c>
      <c r="H47" s="0" t="inlineStr">
        <is>
          <t>{"部门": "中东", "项目": "沙特-NB水表", "项目描述": "预研阶段", "资源类型": "固件工程师-压力传感器功能测试", "资源名称": "魏殷浩", "资源开始时间": "2026-07-28", "资源结束时间": "2026-07-31", "日平均工时": 6}</t>
        </is>
      </c>
      <c r="I47" s="0" t="inlineStr">
        <is>
          <t>approved</t>
        </is>
      </c>
      <c r="J47" s="0" t="inlineStr"/>
      <c r="K47" s="0" t="inlineStr">
        <is>
          <t>xjq</t>
        </is>
      </c>
      <c r="L47" s="0" t="inlineStr">
        <is>
          <t>2026-07-28T07:34:30.383344</t>
        </is>
      </c>
    </row>
    <row r="48">
      <c r="A48" s="0" t="inlineStr">
        <is>
          <t>OP-20260728-004</t>
        </is>
      </c>
      <c r="B48" s="0" t="inlineStr">
        <is>
          <t>2026-07-28T02:03:08.087594</t>
        </is>
      </c>
      <c r="C48" s="0" t="inlineStr">
        <is>
          <t>wyh</t>
        </is>
      </c>
      <c r="D48" s="0" t="inlineStr">
        <is>
          <t>edit</t>
        </is>
      </c>
      <c r="E48" s="0" t="inlineStr">
        <is>
          <t>[53]</t>
        </is>
      </c>
      <c r="F48" s="0" t="inlineStr">
        <is>
          <t>["沙特-NB水表"]</t>
        </is>
      </c>
      <c r="G48" s="0" t="inlineStr">
        <is>
          <t>{"部门": "中东", "项目": "沙特-NB水表", "项目描述": "预研阶段", "资源类型": "固件工程师-压力传感器驱动开发", "资源名称": "魏殷浩", "资源开始时间": "2026-07-20", "资源结束时间": "2026-07-31", "日平均工时": 7}</t>
        </is>
      </c>
      <c r="H48" s="0" t="inlineStr">
        <is>
          <t>{"部门": "中东", "项目": "沙特-NB水表", "项目描述": "预研阶段", "资源类型": "固件工程师-压力传感器驱动开发", "资源名称": "魏殷浩", "资源开始时间": "2026-08-01", "资源结束时间": "2026-08-20", "日平均工时": 7}</t>
        </is>
      </c>
      <c r="I48" s="0" t="inlineStr">
        <is>
          <t>approved</t>
        </is>
      </c>
      <c r="J48" s="0" t="inlineStr"/>
      <c r="K48" s="0" t="inlineStr">
        <is>
          <t>xjq</t>
        </is>
      </c>
      <c r="L48" s="0" t="inlineStr">
        <is>
          <t>2026-07-28T07:35:04.781010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2026-07-28T07:35:53Z</dcterms:modified>
  <cp:lastModifiedBy>项家祺</cp:lastModifiedBy>
</cp:coreProperties>
</file>