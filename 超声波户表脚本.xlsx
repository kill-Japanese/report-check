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4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9" t="n"/>
      <c r="F4" s="99" t="n"/>
      <c r="G4" s="100" t="n"/>
      <c r="H4" s="100" t="n"/>
      <c r="I4" s="100" t="n"/>
      <c r="J4" s="36" t="inlineStr">
        <is>
          <t>固件设计文档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46233</v>
      </c>
      <c r="N4" s="37" t="n">
        <v>4</v>
      </c>
      <c r="O4" s="7">
        <f>'任务计划表'!K5</f>
        <v/>
      </c>
      <c r="P4" s="15">
        <f>IF(IF('任务计划表'!L5="/",'人员资源情况'!$A$2,L5)&gt;M5,M5,(IF('任务计划表'!L5="/",'人员资源情况'!$A$2,L5)))</f>
        <v/>
      </c>
      <c r="Q4" s="15">
        <f>IF(M5="/",'人员资源情况'!$B$2,'任务计划表'!M5)</f>
        <v/>
      </c>
      <c r="R4" s="13">
        <f>'任务计划表'!N5</f>
        <v/>
      </c>
      <c r="S4" s="10">
        <f>IF(O5='人员资源情况'!C$2,1,0)</f>
        <v/>
      </c>
      <c r="T4" s="10">
        <f>IF(P5&gt;='人员资源情况'!A$2,1,0)</f>
        <v/>
      </c>
      <c r="U4" s="10" t="inlineStr">
        <is>
          <t>已归档</t>
        </is>
      </c>
      <c r="V4" s="12">
        <f>IF(T5*U5,Q5-P5,IF(T5&gt;U5,'人员资源情况'!B$2-P5,IF(T5&lt;U5,'任务计划表'!Q5-'人员资源情况'!A$2,0)))*R5*S5</f>
        <v/>
      </c>
      <c r="W4" s="13">
        <f>IF(V5&lt;0,0,V5)</f>
        <v/>
      </c>
    </row>
    <row r="5" ht="14.25" customHeight="1" s="95">
      <c r="E5" s="99" t="n"/>
      <c r="F5" s="99" t="n"/>
      <c r="G5" s="99" t="n"/>
      <c r="H5" s="99" t="n"/>
      <c r="I5" s="99" t="n"/>
      <c r="J5" s="23" t="inlineStr">
        <is>
          <t>固件工程师</t>
        </is>
      </c>
      <c r="K5" s="21" t="inlineStr">
        <is>
          <t xml:space="preserve"> @袁琮欣(80015786)(袁琮欣)</t>
        </is>
      </c>
      <c r="L5" s="21" t="inlineStr">
        <is>
          <t>/</t>
        </is>
      </c>
      <c r="M5" s="24" t="n">
        <v>46288</v>
      </c>
      <c r="N5" s="37" t="n">
        <v>8</v>
      </c>
      <c r="O5" s="7">
        <f>'任务计划表'!K6</f>
        <v/>
      </c>
      <c r="P5" s="15">
        <f>IF(IF('任务计划表'!L6="/",'人员资源情况'!$A$2,L6)&gt;M6,M6,(IF('任务计划表'!L6="/",'人员资源情况'!$A$2,L6)))</f>
        <v/>
      </c>
      <c r="Q5" s="15">
        <f>IF(M6="/",'人员资源情况'!$B$2,'任务计划表'!M6)</f>
        <v/>
      </c>
      <c r="R5" s="13">
        <f>'任务计划表'!N6</f>
        <v/>
      </c>
      <c r="S5" s="10">
        <f>IF(O6='人员资源情况'!C$2,1,0)</f>
        <v/>
      </c>
      <c r="T5" s="10">
        <f>IF(P6&gt;='人员资源情况'!A$2,1,0)</f>
        <v/>
      </c>
      <c r="U5" s="10" t="inlineStr"/>
      <c r="V5" s="12">
        <f>IF(T6*U6,Q6-P6,IF(T6&gt;U6,'人员资源情况'!B$2-P6,IF(T6&lt;U6,'任务计划表'!Q6-'人员资源情况'!A$2,0)))*R6*S6</f>
        <v/>
      </c>
      <c r="W5" s="13">
        <f>IF(V6&lt;0,0,V6)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@李昊龙(80016809)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'任务计划表'!K7</f>
        <v/>
      </c>
      <c r="P6" s="15">
        <f>IF(IF('任务计划表'!L7="/",'人员资源情况'!$A$2,L7)&gt;M7,M7,(IF('任务计划表'!L7="/",'人员资源情况'!$A$2,L7)))</f>
        <v/>
      </c>
      <c r="Q6" s="15">
        <f>IF(M7="/",'人员资源情况'!$B$2,'任务计划表'!M7)</f>
        <v/>
      </c>
      <c r="R6" s="13">
        <f>'任务计划表'!N7</f>
        <v/>
      </c>
      <c r="S6" s="10">
        <f>IF(O7='人员资源情况'!C$2,1,0)</f>
        <v/>
      </c>
      <c r="T6" s="10">
        <f>IF(P7&gt;='人员资源情况'!A$2,1,0)</f>
        <v/>
      </c>
      <c r="U6" s="10" t="inlineStr"/>
      <c r="V6" s="12">
        <f>IF(T7*U7,Q7-P7,IF(T7&gt;U7,'人员资源情况'!B$2-P7,IF(T7&lt;U7,'任务计划表'!Q7-'人员资源情况'!A$2,0)))*R7*S7</f>
        <v/>
      </c>
      <c r="W6" s="13">
        <f>IF(V7&lt;0,0,V7)</f>
        <v/>
      </c>
    </row>
    <row r="7" ht="14.25" customHeight="1" s="95">
      <c r="E7" s="99" t="n"/>
      <c r="F7" s="99" t="n"/>
      <c r="G7" s="99" t="n"/>
      <c r="H7" s="99" t="n"/>
      <c r="I7" s="99" t="n"/>
      <c r="J7" s="25" t="inlineStr">
        <is>
          <t>固件工程师-L660测试/BC680</t>
        </is>
      </c>
      <c r="K7" s="21" t="inlineStr">
        <is>
          <t xml:space="preserve"> @袁琮欣(80015786)(袁琮欣)</t>
        </is>
      </c>
      <c r="L7" s="26" t="n">
        <v>46218</v>
      </c>
      <c r="M7" s="24" t="n">
        <v>46221</v>
      </c>
      <c r="N7" s="37" t="n">
        <v>0.5</v>
      </c>
      <c r="O7" s="7">
        <f>'任务计划表'!K8</f>
        <v/>
      </c>
      <c r="P7" s="15">
        <f>IF(IF('任务计划表'!L8="/",'人员资源情况'!$A$2,L8)&gt;M8,M8,(IF('任务计划表'!L8="/",'人员资源情况'!$A$2,L8)))</f>
        <v/>
      </c>
      <c r="Q7" s="15">
        <f>IF(M8="/",'人员资源情况'!$B$2,'任务计划表'!M8)</f>
        <v/>
      </c>
      <c r="R7" s="13">
        <f>'任务计划表'!N8</f>
        <v/>
      </c>
      <c r="S7" s="10">
        <f>IF(O8='人员资源情况'!C$2,1,0)</f>
        <v/>
      </c>
      <c r="T7" s="10">
        <f>IF(P8&gt;='人员资源情况'!A$2,1,0)</f>
        <v/>
      </c>
      <c r="U7" s="10" t="inlineStr"/>
      <c r="V7" s="12">
        <f>IF(T8*U8,Q8-P8,IF(T8&gt;U8,'人员资源情况'!B$2-P8,IF(T8&lt;U8,'任务计划表'!Q8-'人员资源情况'!A$2,0)))*R8*S8</f>
        <v/>
      </c>
      <c r="W7" s="13">
        <f>IF(V8&lt;0,0,V8)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硬件工程师-PCB调整</t>
        </is>
      </c>
      <c r="K8" s="21" t="inlineStr">
        <is>
          <t>@童景顺(80004217)(童景顺)</t>
        </is>
      </c>
      <c r="L8" s="27" t="inlineStr">
        <is>
          <t>/</t>
        </is>
      </c>
      <c r="M8" s="37" t="inlineStr">
        <is>
          <t>/</t>
        </is>
      </c>
      <c r="N8" s="37" t="n">
        <v>1</v>
      </c>
      <c r="O8" s="7">
        <f>'任务计划表'!K9</f>
        <v/>
      </c>
      <c r="P8" s="15">
        <f>IF(IF('任务计划表'!L9="/",'人员资源情况'!$A$2,L9)&gt;M9,M9,(IF('任务计划表'!L9="/",'人员资源情况'!$A$2,L9)))</f>
        <v/>
      </c>
      <c r="Q8" s="15">
        <f>IF(M9="/",'人员资源情况'!$B$2,'任务计划表'!M9)</f>
        <v/>
      </c>
      <c r="R8" s="13">
        <f>'任务计划表'!N9</f>
        <v/>
      </c>
      <c r="S8" s="10">
        <f>IF(O9='人员资源情况'!C$2,1,0)</f>
        <v/>
      </c>
      <c r="T8" s="10">
        <f>IF(P9&gt;='人员资源情况'!A$2,1,0)</f>
        <v/>
      </c>
      <c r="U8" s="10" t="inlineStr"/>
      <c r="V8" s="12">
        <f>IF(T9*U9,Q9-P9,IF(T9&gt;U9,'人员资源情况'!B$2-P9,IF(T9&lt;U9,'任务计划表'!Q9-'人员资源情况'!A$2,0)))*R9*S9</f>
        <v/>
      </c>
      <c r="W8" s="13">
        <f>IF(V9&lt;0,0,V9)</f>
        <v/>
      </c>
    </row>
    <row r="9" ht="14.25" customHeight="1" s="95">
      <c r="E9" s="99" t="n"/>
      <c r="F9" s="99" t="n"/>
      <c r="G9" s="100" t="n"/>
      <c r="H9" s="100" t="n"/>
      <c r="I9" s="100" t="n"/>
      <c r="J9" s="36" t="inlineStr">
        <is>
          <t>固件工程师-三轴传感器预研</t>
        </is>
      </c>
      <c r="K9" s="21" t="inlineStr">
        <is>
          <t xml:space="preserve"> @张国庆(80019159)</t>
        </is>
      </c>
      <c r="L9" s="24" t="n">
        <v>46223</v>
      </c>
      <c r="M9" s="24" t="n">
        <v>46237</v>
      </c>
      <c r="N9" s="37" t="n">
        <v>4</v>
      </c>
      <c r="O9" s="7">
        <f>'任务计划表'!K10</f>
        <v/>
      </c>
      <c r="P9" s="15">
        <f>IF(IF('任务计划表'!L10="/",'人员资源情况'!$A$2,L10)&gt;M10,M10,(IF('任务计划表'!L10="/",'人员资源情况'!$A$2,L10)))</f>
        <v/>
      </c>
      <c r="Q9" s="15">
        <f>IF(M10="/",'人员资源情况'!$B$2,'任务计划表'!M10)</f>
        <v/>
      </c>
      <c r="R9" s="13">
        <f>'任务计划表'!N10</f>
        <v/>
      </c>
      <c r="S9" s="10">
        <f>IF(O10='人员资源情况'!C$2,1,0)</f>
        <v/>
      </c>
      <c r="T9" s="10">
        <f>IF(P10&gt;='人员资源情况'!A$2,1,0)</f>
        <v/>
      </c>
      <c r="U9" s="10" t="inlineStr"/>
      <c r="V9" s="12">
        <f>IF(T10*U10,Q10-P10,IF(T10&gt;U10,'人员资源情况'!B$2-P10,IF(T10&lt;U10,'任务计划表'!Q10-'人员资源情况'!A$2,0)))*R10*S10</f>
        <v/>
      </c>
      <c r="W9" s="13">
        <f>IF(V10&lt;0,0,V10)</f>
        <v/>
      </c>
    </row>
    <row r="10" ht="14.25" customHeight="1" s="95">
      <c r="E10" s="99" t="n"/>
      <c r="F10" s="30" t="inlineStr">
        <is>
          <t>巴西脉冲-V3</t>
        </is>
      </c>
      <c r="G10" s="36" t="n"/>
      <c r="H10" s="36" t="n"/>
      <c r="I10" s="36" t="n"/>
      <c r="J10" s="23" t="inlineStr">
        <is>
          <t>项目经理</t>
        </is>
      </c>
      <c r="K10" s="21" t="inlineStr">
        <is>
          <t xml:space="preserve"> @项家祺(80004213)(项家祺)</t>
        </is>
      </c>
      <c r="L10" s="21" t="inlineStr">
        <is>
          <t>/</t>
        </is>
      </c>
      <c r="M10" s="24" t="n">
        <v>46318</v>
      </c>
      <c r="N10" s="37" t="n">
        <v>1</v>
      </c>
      <c r="O10" s="7">
        <f>'任务计划表'!K11</f>
        <v/>
      </c>
      <c r="P10" s="15">
        <f>IF(IF('任务计划表'!L11="/",'人员资源情况'!$A$2,L11)&gt;M11,M11,(IF('任务计划表'!L11="/",'人员资源情况'!$A$2,L11)))</f>
        <v/>
      </c>
      <c r="Q10" s="15">
        <f>IF(M11="/",'人员资源情况'!$B$2,'任务计划表'!M11)</f>
        <v/>
      </c>
      <c r="R10" s="13">
        <f>'任务计划表'!N11</f>
        <v/>
      </c>
      <c r="S10" s="10">
        <f>IF(O11='人员资源情况'!C$2,1,0)</f>
        <v/>
      </c>
      <c r="T10" s="10">
        <f>IF(P11&gt;='人员资源情况'!A$2,1,0)</f>
        <v/>
      </c>
      <c r="U10" s="10" t="inlineStr"/>
      <c r="V10" s="12">
        <f>IF(T11*U11,Q11-P11,IF(T11&gt;U11,'人员资源情况'!B$2-P11,IF(T11&lt;U11,'任务计划表'!Q11-'人员资源情况'!A$2,0)))*R11*S11</f>
        <v/>
      </c>
      <c r="W10" s="13">
        <f>IF(V11&lt;0,0,V11)</f>
        <v/>
      </c>
    </row>
    <row r="11" ht="14.25" customHeight="1" s="95">
      <c r="E11" s="99" t="n"/>
      <c r="F11" s="100" t="n"/>
      <c r="G11" s="36" t="n"/>
      <c r="H11" s="36" t="n"/>
      <c r="I11" s="36" t="n"/>
      <c r="J11" s="36" t="inlineStr">
        <is>
          <t>硬件工程师</t>
        </is>
      </c>
      <c r="K11" s="21" t="inlineStr">
        <is>
          <t>@童景顺(80004217)(童景顺)</t>
        </is>
      </c>
      <c r="L11" s="28" t="n"/>
      <c r="M11" s="24" t="n"/>
      <c r="N11" s="37" t="n">
        <v>7</v>
      </c>
      <c r="O11" s="7">
        <f>'任务计划表'!K12</f>
        <v/>
      </c>
      <c r="P11" s="15">
        <f>IF(IF('任务计划表'!L12="/",'人员资源情况'!$A$2,L12)&gt;M12,M12,(IF('任务计划表'!L12="/",'人员资源情况'!$A$2,L12)))</f>
        <v/>
      </c>
      <c r="Q11" s="15">
        <f>IF(M12="/",'人员资源情况'!$B$2,'任务计划表'!M12)</f>
        <v/>
      </c>
      <c r="R11" s="13">
        <f>'任务计划表'!N12</f>
        <v/>
      </c>
      <c r="S11" s="10">
        <f>IF(O12='人员资源情况'!C$2,1,0)</f>
        <v/>
      </c>
      <c r="T11" s="10">
        <f>IF(P12&gt;='人员资源情况'!A$2,1,0)</f>
        <v/>
      </c>
      <c r="U11" s="10" t="inlineStr"/>
      <c r="V11" s="12">
        <f>IF(T12*U12,Q12-P12,IF(T12&gt;U12,'人员资源情况'!B$2-P12,IF(T12&lt;U12,'任务计划表'!Q12-'人员资源情况'!A$2,0)))*R12*S12</f>
        <v/>
      </c>
      <c r="W11" s="13">
        <f>IF(V12&lt;0,0,V12)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SE设计</t>
        </is>
      </c>
      <c r="K12" s="21" t="inlineStr">
        <is>
          <t xml:space="preserve"> @项家祺(80004213)(项家祺)</t>
        </is>
      </c>
      <c r="L12" s="21" t="inlineStr">
        <is>
          <t>/</t>
        </is>
      </c>
      <c r="M12" s="24" t="n">
        <v>46233</v>
      </c>
      <c r="N12" s="37" t="n">
        <v>4</v>
      </c>
      <c r="O12" s="7">
        <f>'任务计划表'!K13</f>
        <v/>
      </c>
      <c r="P12" s="15">
        <f>IF(IF('任务计划表'!L13="/",'人员资源情况'!$A$2,L13)&gt;M13,M13,(IF('任务计划表'!L13="/",'人员资源情况'!$A$2,L13)))</f>
        <v/>
      </c>
      <c r="Q12" s="15">
        <f>IF(M13="/",'人员资源情况'!$B$2,'任务计划表'!M13)</f>
        <v/>
      </c>
      <c r="R12" s="13">
        <f>'任务计划表'!N13</f>
        <v/>
      </c>
      <c r="S12" s="10">
        <f>IF(O13='人员资源情况'!C$2,1,0)</f>
        <v/>
      </c>
      <c r="T12" s="10">
        <f>IF(P13&gt;='人员资源情况'!A$2,1,0)</f>
        <v/>
      </c>
      <c r="U12" s="10" t="inlineStr"/>
      <c r="V12" s="12">
        <f>IF(T13*U13,Q13-P13,IF(T13&gt;U13,'人员资源情况'!B$2-P13,IF(T13&lt;U13,'任务计划表'!Q13-'人员资源情况'!A$2,0)))*R13*S13</f>
        <v/>
      </c>
      <c r="W12" s="13">
        <f>IF(V13&lt;0,0,V13)</f>
        <v/>
      </c>
    </row>
    <row r="13" ht="14.25" customHeight="1" s="95">
      <c r="E13" s="99" t="n"/>
      <c r="F13" s="99" t="n"/>
      <c r="G13" s="36" t="n"/>
      <c r="H13" s="36" t="n"/>
      <c r="I13" s="36" t="n"/>
      <c r="J13" s="23" t="inlineStr">
        <is>
          <t>固件工程师-开发</t>
        </is>
      </c>
      <c r="K13" s="21" t="inlineStr">
        <is>
          <t xml:space="preserve"> @朱葵阳(80019092)(朱葵阳)</t>
        </is>
      </c>
      <c r="L13" s="21" t="inlineStr">
        <is>
          <t>/</t>
        </is>
      </c>
      <c r="M13" s="24" t="n">
        <v>46225</v>
      </c>
      <c r="N13" s="37" t="n">
        <v>8</v>
      </c>
      <c r="O13" s="7">
        <f>'任务计划表'!K14</f>
        <v/>
      </c>
      <c r="P13" s="15">
        <f>IF(IF('任务计划表'!L14="/",'人员资源情况'!$A$2,L14)&gt;M14,M14,(IF('任务计划表'!L14="/",'人员资源情况'!$A$2,L14)))</f>
        <v/>
      </c>
      <c r="Q13" s="15">
        <f>IF(M14="/",'人员资源情况'!$B$2,'任务计划表'!M14)</f>
        <v/>
      </c>
      <c r="R13" s="13">
        <f>'任务计划表'!N14</f>
        <v/>
      </c>
      <c r="S13" s="10">
        <f>IF(O14='人员资源情况'!C$2,1,0)</f>
        <v/>
      </c>
      <c r="T13" s="10">
        <f>IF(P14&gt;='人员资源情况'!A$2,1,0)</f>
        <v/>
      </c>
      <c r="U13" s="10" t="inlineStr"/>
      <c r="V13" s="12">
        <f>IF(T14*U14,Q14-P14,IF(T14&gt;U14,'人员资源情况'!B$2-P14,IF(T14&lt;U14,'任务计划表'!Q14-'人员资源情况'!A$2,0)))*R14*S14</f>
        <v/>
      </c>
      <c r="W13" s="13">
        <f>IF(V14&lt;0,0,V14)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固件工程师-认证跟踪</t>
        </is>
      </c>
      <c r="K14" s="21" t="inlineStr">
        <is>
          <t xml:space="preserve"> @朱葵阳(80019092)(朱葵阳)</t>
        </is>
      </c>
      <c r="L14" s="26" t="n">
        <v>46225</v>
      </c>
      <c r="M14" s="24" t="n">
        <v>46288</v>
      </c>
      <c r="N14" s="37" t="n">
        <v>1.5</v>
      </c>
      <c r="O14" s="7">
        <f>'任务计划表'!K15</f>
        <v/>
      </c>
      <c r="P14" s="15">
        <f>IF(IF('任务计划表'!L15="/",'人员资源情况'!$A$2,L15)&gt;M15,M15,(IF('任务计划表'!L15="/",'人员资源情况'!$A$2,L15)))</f>
        <v/>
      </c>
      <c r="Q14" s="15">
        <f>IF(M15="/",'人员资源情况'!$B$2,'任务计划表'!M15)</f>
        <v/>
      </c>
      <c r="R14" s="13">
        <f>'任务计划表'!N15</f>
        <v/>
      </c>
      <c r="S14" s="10">
        <f>IF(O15='人员资源情况'!C$2,1,0)</f>
        <v/>
      </c>
      <c r="T14" s="10">
        <f>IF(P15&gt;='人员资源情况'!A$2,1,0)</f>
        <v/>
      </c>
      <c r="U14" s="10" t="inlineStr"/>
      <c r="V14" s="12">
        <f>IF(T15*U15,Q15-P15,IF(T15&gt;U15,'人员资源情况'!B$2-P15,IF(T15&lt;U15,'任务计划表'!Q15-'人员资源情况'!A$2,0)))*R15*S15</f>
        <v/>
      </c>
      <c r="W14" s="13">
        <f>IF(V15&lt;0,0,V15)</f>
        <v/>
      </c>
    </row>
    <row r="15" ht="14.25" customHeight="1" s="95">
      <c r="E15" s="99" t="n"/>
      <c r="F15" s="99" t="n"/>
      <c r="G15" s="36" t="n"/>
      <c r="H15" s="36" t="n"/>
      <c r="I15" s="36" t="n"/>
      <c r="J15" s="25" t="inlineStr">
        <is>
          <t>硬件工程师-PCB调整</t>
        </is>
      </c>
      <c r="K15" s="21" t="inlineStr">
        <is>
          <t>@童景顺(80004217)(童景顺)</t>
        </is>
      </c>
      <c r="L15" s="26" t="n"/>
      <c r="M15" s="24" t="n"/>
      <c r="N15" s="37" t="n"/>
      <c r="O15" s="7">
        <f>'任务计划表'!K16</f>
        <v/>
      </c>
      <c r="P15" s="15">
        <f>IF(IF('任务计划表'!L16="/",'人员资源情况'!$A$2,L16)&gt;M16,M16,(IF('任务计划表'!L16="/",'人员资源情况'!$A$2,L16)))</f>
        <v/>
      </c>
      <c r="Q15" s="15">
        <f>IF(M16="/",'人员资源情况'!$B$2,'任务计划表'!M16)</f>
        <v/>
      </c>
      <c r="R15" s="13">
        <f>'任务计划表'!N16</f>
        <v/>
      </c>
      <c r="S15" s="10">
        <f>IF(O16='人员资源情况'!C$2,1,0)</f>
        <v/>
      </c>
      <c r="T15" s="10">
        <f>IF(P16&gt;='人员资源情况'!A$2,1,0)</f>
        <v/>
      </c>
      <c r="U15" s="10" t="inlineStr"/>
      <c r="V15" s="12">
        <f>IF(T16*U16,Q16-P16,IF(T16&gt;U16,'人员资源情况'!B$2-P16,IF(T16&lt;U16,'任务计划表'!Q16-'人员资源情况'!A$2,0)))*R16*S16</f>
        <v/>
      </c>
      <c r="W15" s="13">
        <f>IF(V16&lt;0,0,V16)</f>
        <v/>
      </c>
    </row>
    <row r="16" ht="14.25" customHeight="1" s="95">
      <c r="E16" s="99" t="n"/>
      <c r="F16" s="100" t="n"/>
      <c r="G16" s="36" t="n"/>
      <c r="H16" s="36" t="n"/>
      <c r="I16" s="36" t="n"/>
      <c r="J16" s="23" t="inlineStr">
        <is>
          <t>项目经理</t>
        </is>
      </c>
      <c r="K16" s="21" t="inlineStr">
        <is>
          <t xml:space="preserve"> @项家祺(80004213)(项家祺)</t>
        </is>
      </c>
      <c r="L16" s="21" t="inlineStr">
        <is>
          <t>/</t>
        </is>
      </c>
      <c r="M16" s="36" t="inlineStr">
        <is>
          <t>/</t>
        </is>
      </c>
      <c r="N16" s="37" t="n">
        <v>0.5</v>
      </c>
      <c r="O16" s="7">
        <f>'任务计划表'!K17</f>
        <v/>
      </c>
      <c r="P16" s="15">
        <f>IF(IF('任务计划表'!L17="/",'人员资源情况'!$A$2,L17)&gt;M17,M17,(IF('任务计划表'!L17="/",'人员资源情况'!$A$2,L17)))</f>
        <v/>
      </c>
      <c r="Q16" s="15">
        <f>IF(M17="/",'人员资源情况'!$B$2,'任务计划表'!M17)</f>
        <v/>
      </c>
      <c r="R16" s="13">
        <f>'任务计划表'!N17</f>
        <v/>
      </c>
      <c r="S16" s="10">
        <f>IF(O17='人员资源情况'!C$2,1,0)</f>
        <v/>
      </c>
      <c r="T16" s="10">
        <f>IF(P17&gt;='人员资源情况'!A$2,1,0)</f>
        <v/>
      </c>
      <c r="U16" s="10" t="inlineStr"/>
      <c r="V16" s="12">
        <f>IF(T17*U17,Q17-P17,IF(T17&gt;U17,'人员资源情况'!B$2-P17,IF(T17&lt;U17,'任务计划表'!Q17-'人员资源情况'!A$2,0)))*R17*S17</f>
        <v/>
      </c>
      <c r="W16" s="13">
        <f>IF(V17&lt;0,0,V17)</f>
        <v/>
      </c>
    </row>
    <row r="17" ht="14.25" customHeight="1" s="95">
      <c r="E17" s="99" t="n"/>
      <c r="F17" s="100" t="n"/>
      <c r="G17" s="36" t="n"/>
      <c r="H17" s="36" t="n"/>
      <c r="I17" s="36" t="n"/>
      <c r="J17" s="36" t="inlineStr">
        <is>
          <t>SE设计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29" t="n">
        <v>46233</v>
      </c>
      <c r="N17" s="37" t="n">
        <v>4</v>
      </c>
      <c r="O17" s="7">
        <f>'任务计划表'!K18</f>
        <v/>
      </c>
      <c r="P17" s="15">
        <f>IF(IF('任务计划表'!L18="/",'人员资源情况'!$A$2,L18)&gt;M18,M18,(IF('任务计划表'!L18="/",'人员资源情况'!$A$2,L18)))</f>
        <v/>
      </c>
      <c r="Q17" s="15">
        <f>IF(M18="/",'人员资源情况'!$B$2,'任务计划表'!M18)</f>
        <v/>
      </c>
      <c r="R17" s="13">
        <f>'任务计划表'!N18</f>
        <v/>
      </c>
      <c r="S17" s="10">
        <f>IF(O18='人员资源情况'!C$2,1,0)</f>
        <v/>
      </c>
      <c r="T17" s="10">
        <f>IF(P18&gt;='人员资源情况'!A$2,1,0)</f>
        <v/>
      </c>
      <c r="U17" s="10" t="inlineStr"/>
      <c r="V17" s="12">
        <f>IF(T18*U18,Q18-P18,IF(T18&gt;U18,'人员资源情况'!B$2-P18,IF(T18&lt;U18,'任务计划表'!Q18-'人员资源情况'!A$2,0)))*R18*S18</f>
        <v/>
      </c>
      <c r="W17" s="13">
        <f>IF(V18&lt;0,0,V18)</f>
        <v/>
      </c>
    </row>
    <row r="18" ht="14.25" customHeight="1" s="95">
      <c r="E18" s="99" t="n"/>
      <c r="F18" s="99" t="n"/>
      <c r="G18" s="36" t="n"/>
      <c r="H18" s="36" t="n"/>
      <c r="I18" s="36" t="n"/>
      <c r="J18" s="23" t="inlineStr">
        <is>
          <t>固件工程师-调试样机</t>
        </is>
      </c>
      <c r="K18" s="21" t="inlineStr">
        <is>
          <t xml:space="preserve"> @毛文豪(80018842)</t>
        </is>
      </c>
      <c r="L18" s="24" t="n">
        <v>46205</v>
      </c>
      <c r="M18" s="24" t="n">
        <v>46230</v>
      </c>
      <c r="N18" s="37" t="n">
        <v>8</v>
      </c>
      <c r="O18" s="7">
        <f>'任务计划表'!K19</f>
        <v/>
      </c>
      <c r="P18" s="15">
        <f>IF(IF('任务计划表'!L19="/",'人员资源情况'!$A$2,L19)&gt;M19,M19,(IF('任务计划表'!L19="/",'人员资源情况'!$A$2,L19)))</f>
        <v/>
      </c>
      <c r="Q18" s="15">
        <f>IF(M19="/",'人员资源情况'!$B$2,'任务计划表'!M19)</f>
        <v/>
      </c>
      <c r="R18" s="13">
        <f>'任务计划表'!N19</f>
        <v/>
      </c>
      <c r="S18" s="10">
        <f>IF(O19='人员资源情况'!C$2,1,0)</f>
        <v/>
      </c>
      <c r="T18" s="10">
        <f>IF(P19&gt;='人员资源情况'!A$2,1,0)</f>
        <v/>
      </c>
      <c r="U18" s="10" t="inlineStr"/>
      <c r="V18" s="12">
        <f>IF(T19*U19,Q19-P19,IF(T19&gt;U19,'人员资源情况'!B$2-P19,IF(T19&lt;U19,'任务计划表'!Q19-'人员资源情况'!A$2,0)))*R19*S19</f>
        <v/>
      </c>
      <c r="W18" s="13">
        <f>IF(V19&lt;0,0,V19)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固件工程师-开发设计</t>
        </is>
      </c>
      <c r="K19" s="21" t="inlineStr">
        <is>
          <t xml:space="preserve"> @朱葵阳(80019092)(朱葵阳)</t>
        </is>
      </c>
      <c r="L19" s="24" t="n">
        <v>46220</v>
      </c>
      <c r="M19" s="24" t="n">
        <v>46247</v>
      </c>
      <c r="N19" s="37" t="n">
        <v>6</v>
      </c>
      <c r="O19" s="7">
        <f>'任务计划表'!K20</f>
        <v/>
      </c>
      <c r="P19" s="15">
        <f>IF(IF('任务计划表'!L20="/",'人员资源情况'!$A$2,L20)&gt;M20,M20,(IF('任务计划表'!L20="/",'人员资源情况'!$A$2,L20)))</f>
        <v/>
      </c>
      <c r="Q19" s="15">
        <f>IF(M20="/",'人员资源情况'!$B$2,'任务计划表'!M20)</f>
        <v/>
      </c>
      <c r="R19" s="13">
        <f>'任务计划表'!N20</f>
        <v/>
      </c>
      <c r="S19" s="10">
        <f>IF(O20='人员资源情况'!C$2,1,0)</f>
        <v/>
      </c>
      <c r="T19" s="10">
        <f>IF(P20&gt;='人员资源情况'!A$2,1,0)</f>
        <v/>
      </c>
      <c r="U19" s="10" t="inlineStr"/>
      <c r="V19" s="12">
        <f>IF(T20*U20,Q20-P20,IF(T20&gt;U20,'人员资源情况'!B$2-P20,IF(T20&lt;U20,'任务计划表'!Q20-'人员资源情况'!A$2,0)))*R20*S20</f>
        <v/>
      </c>
      <c r="W19" s="13">
        <f>IF(V20&lt;0,0,V20)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@毛文豪(80018842)</t>
        </is>
      </c>
      <c r="L20" s="24" t="n">
        <v>46230</v>
      </c>
      <c r="M20" s="24" t="n">
        <v>46249</v>
      </c>
      <c r="N20" s="37" t="n">
        <v>6</v>
      </c>
      <c r="O20" s="7">
        <f>'任务计划表'!K21</f>
        <v/>
      </c>
      <c r="P20" s="15">
        <f>IF(IF('任务计划表'!L21="/",'人员资源情况'!$A$2,L21)&gt;M21,M21,(IF('任务计划表'!L21="/",'人员资源情况'!$A$2,L21)))</f>
        <v/>
      </c>
      <c r="Q20" s="15">
        <f>IF(M21="/",'人员资源情况'!$B$2,'任务计划表'!M21)</f>
        <v/>
      </c>
      <c r="R20" s="13">
        <f>'任务计划表'!N21</f>
        <v/>
      </c>
      <c r="S20" s="10">
        <f>IF(O21='人员资源情况'!C$2,1,0)</f>
        <v/>
      </c>
      <c r="T20" s="10">
        <f>IF(P21&gt;='人员资源情况'!A$2,1,0)</f>
        <v/>
      </c>
      <c r="U20" s="10" t="inlineStr"/>
      <c r="V20" s="12">
        <f>IF(T21*U21,Q21-P21,IF(T21&gt;U21,'人员资源情况'!B$2-P21,IF(T21&lt;U21,'任务计划表'!Q21-'人员资源情况'!A$2,0)))*R21*S21</f>
        <v/>
      </c>
      <c r="W20" s="13">
        <f>IF(V21&lt;0,0,V21)</f>
        <v/>
      </c>
    </row>
    <row r="21" ht="14.25" customHeight="1" s="95">
      <c r="E21" s="99" t="n"/>
      <c r="F21" s="99" t="n"/>
      <c r="G21" s="36" t="n"/>
      <c r="H21" s="36" t="n"/>
      <c r="I21" s="36" t="n"/>
      <c r="J21" s="25" t="inlineStr">
        <is>
          <t>硬件工程师-PCB调整</t>
        </is>
      </c>
      <c r="K21" s="21" t="inlineStr">
        <is>
          <t>@童景顺(80004217)(童景顺)</t>
        </is>
      </c>
      <c r="L21" s="28" t="n"/>
      <c r="M21" s="28" t="n"/>
      <c r="N21" s="37" t="n">
        <v>7</v>
      </c>
      <c r="O21" s="7">
        <f>'任务计划表'!K22</f>
        <v/>
      </c>
      <c r="P21" s="15">
        <f>IF(IF('任务计划表'!L22="/",'人员资源情况'!$A$2,L22)&gt;M22,M22,(IF('任务计划表'!L22="/",'人员资源情况'!$A$2,L22)))</f>
        <v/>
      </c>
      <c r="Q21" s="15">
        <f>IF(M22="/",'人员资源情况'!$B$2,'任务计划表'!M22)</f>
        <v/>
      </c>
      <c r="R21" s="13">
        <f>'任务计划表'!N22</f>
        <v/>
      </c>
      <c r="S21" s="10">
        <f>IF(O22='人员资源情况'!C$2,1,0)</f>
        <v/>
      </c>
      <c r="T21" s="10">
        <f>IF(P22&gt;='人员资源情况'!A$2,1,0)</f>
        <v/>
      </c>
      <c r="U21" s="10" t="inlineStr"/>
      <c r="V21" s="12">
        <f>IF(T22*U22,Q22-P22,IF(T22&gt;U22,'人员资源情况'!B$2-P22,IF(T22&lt;U22,'任务计划表'!Q22-'人员资源情况'!A$2,0)))*R22*S22</f>
        <v/>
      </c>
      <c r="W21" s="13">
        <f>IF(V22&lt;0,0,V22)</f>
        <v/>
      </c>
    </row>
    <row r="22" ht="14.25" customHeight="1" s="95">
      <c r="E22" s="99" t="n"/>
      <c r="F22" s="99" t="n"/>
      <c r="G22" s="36" t="n"/>
      <c r="H22" s="36" t="n"/>
      <c r="I22" s="36" t="n"/>
      <c r="J22" s="23" t="inlineStr">
        <is>
          <t>固件工程师-测试跟踪</t>
        </is>
      </c>
      <c r="K22" s="21" t="inlineStr">
        <is>
          <t xml:space="preserve"> @朱葵阳(80019092)(朱葵阳)</t>
        </is>
      </c>
      <c r="L22" s="24" t="n">
        <v>46249</v>
      </c>
      <c r="M22" s="24" t="n">
        <v>46300</v>
      </c>
      <c r="N22" s="37" t="n">
        <v>2</v>
      </c>
      <c r="O22" s="7">
        <f>'任务计划表'!K23</f>
        <v/>
      </c>
      <c r="P22" s="15">
        <f>IF(IF('任务计划表'!L23="/",'人员资源情况'!$A$2,L23)&gt;M23,M23,(IF('任务计划表'!L23="/",'人员资源情况'!$A$2,L23)))</f>
        <v/>
      </c>
      <c r="Q22" s="15">
        <f>IF(M23="/",'人员资源情况'!$B$2,'任务计划表'!M23)</f>
        <v/>
      </c>
      <c r="R22" s="13">
        <f>'任务计划表'!N23</f>
        <v/>
      </c>
      <c r="S22" s="10">
        <f>IF(O23='人员资源情况'!C$2,1,0)</f>
        <v/>
      </c>
      <c r="T22" s="10">
        <f>IF(P23&gt;='人员资源情况'!A$2,1,0)</f>
        <v/>
      </c>
      <c r="U22" s="10" t="inlineStr"/>
      <c r="V22" s="12">
        <f>IF(T23*U23,Q23-P23,IF(T23&gt;U23,'人员资源情况'!B$2-P23,IF(T23&lt;U23,'任务计划表'!Q23-'人员资源情况'!A$2,0)))*R23*S23</f>
        <v/>
      </c>
      <c r="W22" s="13">
        <f>IF(V23&lt;0,0,V23)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固件工程师-认证跟踪</t>
        </is>
      </c>
      <c r="K23" s="21" t="inlineStr">
        <is>
          <t xml:space="preserve"> @朱葵阳(80019092)(朱葵阳)</t>
        </is>
      </c>
      <c r="L23" s="24" t="n">
        <v>46300</v>
      </c>
      <c r="M23" s="24" t="n">
        <v>46360</v>
      </c>
      <c r="N23" s="37" t="n">
        <v>1</v>
      </c>
      <c r="O23" s="7">
        <f>'任务计划表'!K24</f>
        <v/>
      </c>
      <c r="P23" s="15">
        <f>IF(IF('任务计划表'!L24="/",'人员资源情况'!$A$2,L24)&gt;M24,M24,(IF('任务计划表'!L24="/",'人员资源情况'!$A$2,L24)))</f>
        <v/>
      </c>
      <c r="Q23" s="15">
        <f>IF(M24="/",'人员资源情况'!$B$2,'任务计划表'!M24)</f>
        <v/>
      </c>
      <c r="R23" s="13">
        <f>'任务计划表'!N24</f>
        <v/>
      </c>
      <c r="S23" s="10">
        <f>IF(O24='人员资源情况'!C$2,1,0)</f>
        <v/>
      </c>
      <c r="T23" s="10">
        <f>IF(P24&gt;='人员资源情况'!A$2,1,0)</f>
        <v/>
      </c>
      <c r="U23" s="10" t="inlineStr"/>
      <c r="V23" s="12">
        <f>IF(T24*U24,Q24-P24,IF(T24&gt;U24,'人员资源情况'!B$2-P24,IF(T24&lt;U24,'任务计划表'!Q24-'人员资源情况'!A$2,0)))*R24*S24</f>
        <v/>
      </c>
      <c r="W23" s="13">
        <f>IF(V24&lt;0,0,V24)</f>
        <v/>
      </c>
    </row>
    <row r="24" ht="14.25" customHeight="1" s="95">
      <c r="E24" s="99" t="n"/>
      <c r="F24" s="100" t="n"/>
      <c r="G24" s="36" t="n"/>
      <c r="H24" s="36" t="n"/>
      <c r="I24" s="37" t="inlineStr">
        <is>
          <t>TAG26帧修改</t>
        </is>
      </c>
      <c r="J24" s="23" t="inlineStr">
        <is>
          <t>固件工程师</t>
        </is>
      </c>
      <c r="K24" s="21" t="inlineStr">
        <is>
          <t xml:space="preserve"> @答金雨(80016793)</t>
        </is>
      </c>
      <c r="L24" s="24" t="n">
        <v>46206</v>
      </c>
      <c r="M24" s="24" t="n">
        <v>46228</v>
      </c>
      <c r="N24" s="37" t="n">
        <v>2</v>
      </c>
      <c r="O24" s="7">
        <f>'任务计划表'!K25</f>
        <v/>
      </c>
      <c r="P24" s="15">
        <f>IF(IF('任务计划表'!L25="/",'人员资源情况'!$A$2,L25)&gt;M25,M25,(IF('任务计划表'!L25="/",'人员资源情况'!$A$2,L25)))</f>
        <v/>
      </c>
      <c r="Q24" s="15">
        <f>IF(M25="/",'人员资源情况'!$B$2,'任务计划表'!M25)</f>
        <v/>
      </c>
      <c r="R24" s="13">
        <f>'任务计划表'!N25</f>
        <v/>
      </c>
      <c r="S24" s="10">
        <f>IF(O25='人员资源情况'!C$2,1,0)</f>
        <v/>
      </c>
      <c r="T24" s="10">
        <f>IF(P25&gt;='人员资源情况'!A$2,1,0)</f>
        <v/>
      </c>
      <c r="U24" s="10" t="inlineStr"/>
      <c r="V24" s="12">
        <f>IF(T25*U25,Q25-P25,IF(T25&gt;U25,'人员资源情况'!B$2-P25,IF(T25&lt;U25,'任务计划表'!Q25-'人员资源情况'!A$2,0)))*R25*S25</f>
        <v/>
      </c>
      <c r="W24" s="13">
        <f>IF(V25&lt;0,0,V25)</f>
        <v/>
      </c>
    </row>
    <row r="25" ht="24.4" customHeight="1" s="95">
      <c r="E25" s="99" t="n"/>
      <c r="F25" s="76" t="inlineStr">
        <is>
          <t>智利-NB</t>
        </is>
      </c>
      <c r="G25" s="36" t="n"/>
      <c r="H25" s="36" t="n"/>
      <c r="I25" s="94" t="inlineStr">
        <is>
          <t>特殊-联调阶段
7月2日-系统IP申请问题，未完成联调
7月8日-预约二次联调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1" t="inlineStr">
        <is>
          <t>/</t>
        </is>
      </c>
      <c r="M25" s="23" t="n">
        <v>46227</v>
      </c>
      <c r="N25" s="30" t="n">
        <v>3</v>
      </c>
      <c r="O25" s="7">
        <f>'任务计划表'!K26</f>
        <v/>
      </c>
      <c r="P25" s="15">
        <f>IF(IF('任务计划表'!L26="/",'人员资源情况'!$A$2,L26)&gt;M26,M26,(IF('任务计划表'!L26="/",'人员资源情况'!$A$2,L26)))</f>
        <v/>
      </c>
      <c r="Q25" s="15">
        <f>IF(M26="/",'人员资源情况'!$B$2,'任务计划表'!M26)</f>
        <v/>
      </c>
      <c r="R25" s="13">
        <f>'任务计划表'!N26</f>
        <v/>
      </c>
      <c r="S25" s="10">
        <f>IF(O26='人员资源情况'!C$2,1,0)</f>
        <v/>
      </c>
      <c r="T25" s="10">
        <f>IF(P26&gt;='人员资源情况'!A$2,1,0)</f>
        <v/>
      </c>
      <c r="U25" s="10" t="inlineStr"/>
      <c r="V25" s="12">
        <f>IF(T26*U26,Q26-P26,IF(T26&gt;U26,'人员资源情况'!B$2-P26,IF(T26&lt;U26,'任务计划表'!Q26-'人员资源情况'!A$2,0)))*R26*S26</f>
        <v/>
      </c>
      <c r="W25" s="13">
        <f>IF(V26&lt;0,0,V26)</f>
        <v/>
      </c>
    </row>
    <row r="26" ht="54.75" customHeight="1" s="95">
      <c r="E26" s="99" t="n"/>
      <c r="F26" s="76" t="inlineStr">
        <is>
          <t>秘鲁-CAT1</t>
        </is>
      </c>
      <c r="G26" s="36" t="n"/>
      <c r="H26" s="36" t="n"/>
      <c r="I26" s="64" t="inlineStr">
        <is>
          <t>TR4A-测试阶段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46223</v>
      </c>
      <c r="N26" s="30" t="n">
        <v>6</v>
      </c>
      <c r="O26" s="7">
        <f>'任务计划表'!K27</f>
        <v/>
      </c>
      <c r="P26" s="15">
        <f>IF(IF('任务计划表'!L27="/",'人员资源情况'!$A$2,L27)&gt;M27,M27,(IF('任务计划表'!L27="/",'人员资源情况'!$A$2,L27)))</f>
        <v/>
      </c>
      <c r="Q26" s="15">
        <f>IF(M27="/",'人员资源情况'!$B$2,'任务计划表'!M27)</f>
        <v/>
      </c>
      <c r="R26" s="13">
        <f>'任务计划表'!N27</f>
        <v/>
      </c>
      <c r="S26" s="10">
        <f>IF(O27='人员资源情况'!C$2,1,0)</f>
        <v/>
      </c>
      <c r="T26" s="10">
        <f>IF(P27&gt;='人员资源情况'!A$2,1,0)</f>
        <v/>
      </c>
      <c r="U26" s="10" t="inlineStr"/>
      <c r="V26" s="12">
        <f>IF(T27*U27,Q27-P27,IF(T27&gt;U27,'人员资源情况'!B$2-P27,IF(T27&lt;U27,'任务计划表'!Q27-'人员资源情况'!A$2,0)))*R27*S27</f>
        <v/>
      </c>
      <c r="W26" s="13">
        <f>IF(V27&lt;0,0,V27)</f>
        <v/>
      </c>
    </row>
    <row r="27" ht="14.25" customHeight="1" s="95">
      <c r="E27" s="99" t="n"/>
      <c r="F27" s="30" t="inlineStr">
        <is>
          <t>墨西哥MIAA</t>
        </is>
      </c>
      <c r="G27" s="36" t="n"/>
      <c r="H27" s="89" t="n"/>
      <c r="I27" s="37" t="inlineStr">
        <is>
          <t>TR4A-测试阶段</t>
        </is>
      </c>
      <c r="J27" s="18" t="inlineStr">
        <is>
          <t>项目经理</t>
        </is>
      </c>
      <c r="K27" s="21" t="inlineStr">
        <is>
          <t xml:space="preserve"> @危才文(80018808)</t>
        </is>
      </c>
      <c r="L27" s="36" t="inlineStr">
        <is>
          <t>/</t>
        </is>
      </c>
      <c r="M27" s="23" t="n">
        <v>46275</v>
      </c>
      <c r="N27" s="30" t="n">
        <v>0.5</v>
      </c>
      <c r="O27" s="7">
        <f>'任务计划表'!K28</f>
        <v/>
      </c>
      <c r="P27" s="15">
        <f>IF(IF('任务计划表'!L28="/",'人员资源情况'!$A$2,L28)&gt;M28,M28,(IF('任务计划表'!L28="/",'人员资源情况'!$A$2,L28)))</f>
        <v/>
      </c>
      <c r="Q27" s="15">
        <f>IF(M28="/",'人员资源情况'!$B$2,'任务计划表'!M28)</f>
        <v/>
      </c>
      <c r="R27" s="13">
        <f>'任务计划表'!N28</f>
        <v/>
      </c>
      <c r="S27" s="10">
        <f>IF(O28='人员资源情况'!C$2,1,0)</f>
        <v/>
      </c>
      <c r="T27" s="10">
        <f>IF(P28&gt;='人员资源情况'!A$2,1,0)</f>
        <v/>
      </c>
      <c r="U27" s="10" t="inlineStr"/>
      <c r="V27" s="12">
        <f>IF(T28*U28,Q28-P28,IF(T28&gt;U28,'人员资源情况'!B$2-P28,IF(T28&lt;U28,'任务计划表'!Q28-'人员资源情况'!A$2,0)))*R28*S28</f>
        <v/>
      </c>
      <c r="W27" s="13">
        <f>IF(V28&lt;0,0,V28)</f>
        <v/>
      </c>
    </row>
    <row r="28" ht="14.25" customHeight="1" s="95">
      <c r="E28" s="99" t="n"/>
      <c r="F28" s="100" t="n"/>
      <c r="G28" s="36" t="n"/>
      <c r="H28" s="36" t="n"/>
      <c r="I28" s="64" t="inlineStr">
        <is>
          <t>TR4A-测试阶段</t>
        </is>
      </c>
      <c r="J28" s="23" t="inlineStr">
        <is>
          <t>固件工程师-测试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46225</v>
      </c>
      <c r="N28" s="30" t="n">
        <v>4</v>
      </c>
      <c r="O28" s="7">
        <f>'任务计划表'!K29</f>
        <v/>
      </c>
      <c r="P28" s="15">
        <f>IF(IF('任务计划表'!L29="/",'人员资源情况'!$A$2,L29)&gt;M29,M29,(IF('任务计划表'!L29="/",'人员资源情况'!$A$2,L29)))</f>
        <v/>
      </c>
      <c r="Q28" s="15">
        <f>IF(M29="/",'人员资源情况'!$B$2,'任务计划表'!M29)</f>
        <v/>
      </c>
      <c r="R28" s="13">
        <f>'任务计划表'!N29</f>
        <v/>
      </c>
      <c r="S28" s="10">
        <f>IF(O29='人员资源情况'!C$2,1,0)</f>
        <v/>
      </c>
      <c r="T28" s="10">
        <f>IF(P29&gt;='人员资源情况'!A$2,1,0)</f>
        <v/>
      </c>
      <c r="U28" s="10" t="inlineStr"/>
      <c r="V28" s="12">
        <f>IF(T29*U29,Q29-P29,IF(T29&gt;U29,'人员资源情况'!B$2-P29,IF(T29&lt;U29,'任务计划表'!Q29-'人员资源情况'!A$2,0)))*R29*S29</f>
        <v/>
      </c>
      <c r="W28" s="13">
        <f>IF(V29&lt;0,0,V29)</f>
        <v/>
      </c>
    </row>
    <row r="29" ht="14.25" customHeight="1" s="95">
      <c r="E29" s="99" t="n"/>
      <c r="F29" s="100" t="n"/>
      <c r="G29" s="36" t="n"/>
      <c r="H29" s="36" t="n"/>
      <c r="I29" s="37" t="inlineStr">
        <is>
          <t>补充验证</t>
        </is>
      </c>
      <c r="J29" s="31" t="inlineStr">
        <is>
          <t>硬件工程师</t>
        </is>
      </c>
      <c r="K29" s="32" t="inlineStr">
        <is>
          <t xml:space="preserve"> @舒杰(80018942)</t>
        </is>
      </c>
      <c r="L29" s="36" t="inlineStr">
        <is>
          <t>/</t>
        </is>
      </c>
      <c r="M29" s="23" t="n">
        <v>46234</v>
      </c>
      <c r="N29" s="30" t="n">
        <v>6</v>
      </c>
      <c r="O29" s="7">
        <f>'任务计划表'!K30</f>
        <v/>
      </c>
      <c r="P29" s="15">
        <f>IF(IF('任务计划表'!L30="/",'人员资源情况'!$A$2,L30)&gt;M30,M30,(IF('任务计划表'!L30="/",'人员资源情况'!$A$2,L30)))</f>
        <v/>
      </c>
      <c r="Q29" s="15">
        <f>IF(M30="/",'人员资源情况'!$B$2,'任务计划表'!M30)</f>
        <v/>
      </c>
      <c r="R29" s="13">
        <f>'任务计划表'!N30</f>
        <v/>
      </c>
      <c r="S29" s="10">
        <f>IF(O30='人员资源情况'!C$2,1,0)</f>
        <v/>
      </c>
      <c r="T29" s="10">
        <f>IF(P30&gt;='人员资源情况'!A$2,1,0)</f>
        <v/>
      </c>
      <c r="U29" s="10" t="inlineStr"/>
      <c r="V29" s="12">
        <f>IF(T30*U30,Q30-P30,IF(T30&gt;U30,'人员资源情况'!B$2-P30,IF(T30&lt;U30,'任务计划表'!Q30-'人员资源情况'!A$2,0)))*R30*S30</f>
        <v/>
      </c>
      <c r="W29" s="13">
        <f>IF(V30&lt;0,0,V30)</f>
        <v/>
      </c>
    </row>
    <row r="30" ht="14.25" customHeight="1" s="95">
      <c r="E30" s="99" t="n"/>
      <c r="F30" s="30" t="inlineStr">
        <is>
          <t>哥伦比亚相关</t>
        </is>
      </c>
      <c r="G30" s="18" t="n"/>
      <c r="H30" s="36" t="n"/>
      <c r="I30" s="74" t="inlineStr">
        <is>
          <t>哥伦比亚EVB项目复测</t>
        </is>
      </c>
      <c r="J30" s="23" t="inlineStr">
        <is>
          <t>固件工程师</t>
        </is>
      </c>
      <c r="K30" s="21" t="inlineStr">
        <is>
          <t xml:space="preserve"> @毛文豪(80018842)</t>
        </is>
      </c>
      <c r="L30" s="33" t="n">
        <v>46230</v>
      </c>
      <c r="M30" s="23" t="n">
        <v>46239</v>
      </c>
      <c r="N30" s="30" t="n">
        <v>1</v>
      </c>
      <c r="O30" s="7">
        <f>'任务计划表'!K31</f>
        <v/>
      </c>
      <c r="P30" s="15">
        <f>IF(IF('任务计划表'!L31="/",'人员资源情况'!$A$2,L31)&gt;M31,M31,(IF('任务计划表'!L31="/",'人员资源情况'!$A$2,L31)))</f>
        <v/>
      </c>
      <c r="Q30" s="15">
        <f>IF(M31="/",'人员资源情况'!$B$2,'任务计划表'!M31)</f>
        <v/>
      </c>
      <c r="R30" s="13">
        <f>'任务计划表'!N31</f>
        <v/>
      </c>
      <c r="S30" s="10">
        <f>IF(O31='人员资源情况'!C$2,1,0)</f>
        <v/>
      </c>
      <c r="T30" s="10">
        <f>IF(P31&gt;='人员资源情况'!A$2,1,0)</f>
        <v/>
      </c>
      <c r="U30" s="10" t="inlineStr"/>
      <c r="V30" s="12">
        <f>IF(T31*U31,Q31-P31,IF(T31&gt;U31,'人员资源情况'!B$2-P31,IF(T31&lt;U31,'任务计划表'!Q31-'人员资源情况'!A$2,0)))*R31*S31</f>
        <v/>
      </c>
      <c r="W30" s="13">
        <f>IF(V31&lt;0,0,V31)</f>
        <v/>
      </c>
    </row>
    <row r="31" ht="14.25" customHeight="1" s="95">
      <c r="E31" s="99" t="n"/>
      <c r="F31" s="100" t="n"/>
      <c r="G31" s="18" t="n"/>
      <c r="H31" s="36" t="n"/>
      <c r="I31" s="37" t="inlineStr">
        <is>
          <t>DN40-LoRaWAN测试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46220</v>
      </c>
      <c r="M31" s="23" t="n">
        <v>46223</v>
      </c>
      <c r="N31" s="30" t="n">
        <v>0.8</v>
      </c>
      <c r="O31" s="7">
        <f>'任务计划表'!K32</f>
        <v/>
      </c>
      <c r="P31" s="15">
        <f>IF(IF('任务计划表'!L32="/",'人员资源情况'!$A$2,L32)&gt;M32,M32,(IF('任务计划表'!L32="/",'人员资源情况'!$A$2,L32)))</f>
        <v/>
      </c>
      <c r="Q31" s="15">
        <f>IF(M32="/",'人员资源情况'!$B$2,'任务计划表'!M32)</f>
        <v/>
      </c>
      <c r="R31" s="13">
        <f>'任务计划表'!N32</f>
        <v/>
      </c>
      <c r="S31" s="10">
        <f>IF(O32='人员资源情况'!C$2,1,0)</f>
        <v/>
      </c>
      <c r="T31" s="10">
        <f>IF(P32&gt;='人员资源情况'!A$2,1,0)</f>
        <v/>
      </c>
      <c r="U31" s="10" t="inlineStr"/>
      <c r="V31" s="12">
        <f>IF(T32*U32,Q32-P32,IF(T32&gt;U32,'人员资源情况'!B$2-P32,IF(T32&lt;U32,'任务计划表'!Q32-'人员资源情况'!A$2,0)))*R32*S32</f>
        <v/>
      </c>
      <c r="W31" s="13">
        <f>IF(V32&lt;0,0,V32)</f>
        <v/>
      </c>
    </row>
    <row r="32" ht="14.25" customHeight="1" s="95">
      <c r="E32" s="99" t="n"/>
      <c r="F32" s="100" t="n"/>
      <c r="G32" s="36" t="n"/>
      <c r="H32" s="36" t="n"/>
      <c r="I32" s="64" t="inlineStr">
        <is>
          <t>TR4-设计开发阶段</t>
        </is>
      </c>
      <c r="J32" s="23" t="inlineStr">
        <is>
          <t>固件工程师</t>
        </is>
      </c>
      <c r="K32" s="21" t="inlineStr">
        <is>
          <t xml:space="preserve"> @危才文(80018808)</t>
        </is>
      </c>
      <c r="L32" s="36" t="inlineStr">
        <is>
          <t>/</t>
        </is>
      </c>
      <c r="M32" s="23" t="n">
        <v>46211</v>
      </c>
      <c r="N32" s="30" t="n">
        <v>6</v>
      </c>
      <c r="O32" s="7">
        <f>'任务计划表'!K33</f>
        <v/>
      </c>
      <c r="P32" s="15">
        <f>IF(IF('任务计划表'!L33="/",'人员资源情况'!$A$2,L33)&gt;M33,M33,(IF('任务计划表'!L33="/",'人员资源情况'!$A$2,L33)))</f>
        <v/>
      </c>
      <c r="Q32" s="15">
        <f>IF(M33="/",'人员资源情况'!$B$2,'任务计划表'!M33)</f>
        <v/>
      </c>
      <c r="R32" s="13">
        <f>'任务计划表'!N33</f>
        <v/>
      </c>
      <c r="S32" s="10">
        <f>IF(O33='人员资源情况'!C$2,1,0)</f>
        <v/>
      </c>
      <c r="T32" s="10">
        <f>IF(P33&gt;='人员资源情况'!A$2,1,0)</f>
        <v/>
      </c>
      <c r="U32" s="10" t="inlineStr"/>
      <c r="V32" s="12">
        <f>IF(T33*U33,Q33-P33,IF(T33&gt;U33,'人员资源情况'!B$2-P33,IF(T33&lt;U33,'任务计划表'!Q33-'人员资源情况'!A$2,0)))*R33*S33</f>
        <v/>
      </c>
      <c r="W32" s="13">
        <f>IF(V33&lt;0,0,V33)</f>
        <v/>
      </c>
    </row>
    <row r="33" ht="14.25" customHeight="1" s="95">
      <c r="E33" s="99" t="n"/>
      <c r="F33" s="76" t="inlineStr">
        <is>
          <t>NB-CE</t>
        </is>
      </c>
      <c r="G33" s="36" t="n"/>
      <c r="H33" s="36" t="n"/>
      <c r="I33" s="37" t="inlineStr">
        <is>
          <t>样机制作阶段</t>
        </is>
      </c>
      <c r="J33" s="36" t="n"/>
      <c r="K33" s="36" t="n"/>
      <c r="L33" s="36" t="inlineStr">
        <is>
          <t>/</t>
        </is>
      </c>
      <c r="M33" s="36" t="inlineStr">
        <is>
          <t>/</t>
        </is>
      </c>
      <c r="N33" s="36" t="n"/>
      <c r="O33" s="7">
        <f>'任务计划表'!K34</f>
        <v/>
      </c>
      <c r="P33" s="15">
        <f>IF(IF('任务计划表'!L34="/",'人员资源情况'!$A$2,L34)&gt;M34,M34,(IF('任务计划表'!L34="/",'人员资源情况'!$A$2,L34)))</f>
        <v/>
      </c>
      <c r="Q33" s="15">
        <f>IF(M34="/",'人员资源情况'!$B$2,'任务计划表'!M34)</f>
        <v/>
      </c>
      <c r="R33" s="13">
        <f>'任务计划表'!N34</f>
        <v/>
      </c>
      <c r="S33" s="10">
        <f>IF(O34='人员资源情况'!C$2,1,0)</f>
        <v/>
      </c>
      <c r="T33" s="10">
        <f>IF(P34&gt;='人员资源情况'!A$2,1,0)</f>
        <v/>
      </c>
      <c r="U33" s="10">
        <f>IF(Q34&lt;='人员资源情况'!B$2,1,0)</f>
        <v/>
      </c>
      <c r="V33" s="12">
        <f>IF(T34*U34,Q34-P34,IF(T34&gt;U34,'人员资源情况'!B$2-P34,IF(T34&lt;U34,'任务计划表'!Q34-'人员资源情况'!A$2,0)))*R34*S34</f>
        <v/>
      </c>
      <c r="W33" s="13">
        <f>IF(V34&lt;0,0,V34)</f>
        <v/>
      </c>
    </row>
    <row r="34" ht="14.25" customHeight="1" s="95">
      <c r="E34" s="99" t="n"/>
      <c r="F34" s="35" t="n"/>
      <c r="G34" s="80" t="n"/>
      <c r="H34" s="80" t="n"/>
      <c r="I34" s="64" t="n"/>
      <c r="J34" s="23" t="n"/>
      <c r="K34" s="21" t="n"/>
      <c r="L34" s="36" t="n"/>
      <c r="M34" s="23" t="n"/>
      <c r="N34" s="30" t="n"/>
      <c r="O34" s="7">
        <f>'任务计划表'!K35</f>
        <v/>
      </c>
      <c r="P34" s="15">
        <f>IF(IF('任务计划表'!L35="/",'人员资源情况'!$A$2,L35)&gt;M35,M35,(IF('任务计划表'!L35="/",'人员资源情况'!$A$2,L35)))</f>
        <v/>
      </c>
      <c r="Q34" s="15">
        <f>IF(M35="/",'人员资源情况'!$B$2,'任务计划表'!M35)</f>
        <v/>
      </c>
      <c r="R34" s="13">
        <f>'任务计划表'!N35</f>
        <v/>
      </c>
      <c r="S34" s="10">
        <f>IF(O35='人员资源情况'!C$2,1,0)</f>
        <v/>
      </c>
      <c r="T34" s="10">
        <f>IF(P35&gt;='人员资源情况'!A$2,1,0)</f>
        <v/>
      </c>
      <c r="U34" s="10">
        <f>IF(Q35&lt;='人员资源情况'!B$2,1,0)</f>
        <v/>
      </c>
      <c r="V34" s="12">
        <f>IF(T35*U35,Q35-P35,IF(T35&gt;U35,'人员资源情况'!B$2-P35,IF(T35&lt;U35,'任务计划表'!Q35-'人员资源情况'!A$2,0)))*R35*S35</f>
        <v/>
      </c>
      <c r="W34" s="13">
        <f>IF(V35&lt;0,0,V35)</f>
        <v/>
      </c>
    </row>
    <row r="35" ht="14.25" customHeight="1" s="95">
      <c r="E35" s="99" t="n"/>
      <c r="F35" s="62" t="inlineStr">
        <is>
          <t>欧洲短款1代产品</t>
        </is>
      </c>
      <c r="G35" s="36" t="n"/>
      <c r="H35" s="36" t="n"/>
      <c r="I35" s="37" t="n"/>
      <c r="J35" s="34" t="inlineStr">
        <is>
          <t>项目经理</t>
        </is>
      </c>
      <c r="K35" s="21" t="inlineStr">
        <is>
          <t>@童景顺(80004217)(童景顺)</t>
        </is>
      </c>
      <c r="L35" s="36" t="inlineStr">
        <is>
          <t>/</t>
        </is>
      </c>
      <c r="M35" s="23" t="n">
        <v>46295</v>
      </c>
      <c r="N35" s="30" t="n">
        <v>0.5</v>
      </c>
      <c r="O35" s="7">
        <f>'任务计划表'!K36</f>
        <v/>
      </c>
      <c r="P35" s="15">
        <f>IF(IF('任务计划表'!L36="/",'人员资源情况'!$A$2,L36)&gt;M36,M36,(IF('任务计划表'!L36="/",'人员资源情况'!$A$2,L36)))</f>
        <v/>
      </c>
      <c r="Q35" s="15">
        <f>IF(M36="/",'人员资源情况'!$B$2,'任务计划表'!M36)</f>
        <v/>
      </c>
      <c r="R35" s="13">
        <f>'任务计划表'!N36</f>
        <v/>
      </c>
      <c r="S35" s="10">
        <f>IF(O36='人员资源情况'!C$2,1,0)</f>
        <v/>
      </c>
      <c r="T35" s="10">
        <f>IF(P36&gt;='人员资源情况'!A$2,1,0)</f>
        <v/>
      </c>
      <c r="U35" s="10" t="inlineStr"/>
      <c r="V35" s="12">
        <f>IF(T36*U36,Q36-P36,IF(T36&gt;U36,'人员资源情况'!B$2-P36,IF(T36&lt;U36,'任务计划表'!Q36-'人员资源情况'!A$2,0)))*R36*S36</f>
        <v/>
      </c>
      <c r="W35" s="13">
        <f>IF(V36&lt;0,0,V36)</f>
        <v/>
      </c>
    </row>
    <row r="36" ht="14.25" customHeight="1" s="95">
      <c r="E36" s="99" t="n"/>
      <c r="F36" s="100" t="n"/>
      <c r="G36" s="36" t="n"/>
      <c r="H36" s="36" t="n"/>
      <c r="I36" s="37" t="n"/>
      <c r="J36" s="25" t="inlineStr">
        <is>
          <t>硬件设计-硬件设计文档</t>
        </is>
      </c>
      <c r="K36" s="21" t="inlineStr">
        <is>
          <t>@童景顺(80004217)(童景顺)</t>
        </is>
      </c>
      <c r="L36" s="23" t="n">
        <v>46221</v>
      </c>
      <c r="M36" s="23" t="n">
        <v>46240</v>
      </c>
      <c r="N36" s="30" t="n">
        <v>2</v>
      </c>
      <c r="O36" s="7">
        <f>'任务计划表'!K37</f>
        <v/>
      </c>
      <c r="P36" s="15">
        <f>IF(IF('任务计划表'!L37="/",'人员资源情况'!$A$2,L37)&gt;M37,M37,(IF('任务计划表'!L37="/",'人员资源情况'!$A$2,L37)))</f>
        <v/>
      </c>
      <c r="Q36" s="15">
        <f>IF(M37="/",'人员资源情况'!$B$2,'任务计划表'!M37)</f>
        <v/>
      </c>
      <c r="R36" s="13">
        <f>'任务计划表'!N37</f>
        <v/>
      </c>
      <c r="S36" s="10">
        <f>IF(O37='人员资源情况'!C$2,1,0)</f>
        <v/>
      </c>
      <c r="T36" s="10">
        <f>IF(P37&gt;='人员资源情况'!A$2,1,0)</f>
        <v/>
      </c>
      <c r="U36" s="10" t="inlineStr"/>
      <c r="V36" s="12">
        <f>IF(T37*U37,Q37-P37,IF(T37&gt;U37,'人员资源情况'!B$2-P37,IF(T37&lt;U37,'任务计划表'!Q37-'人员资源情况'!A$2,0)))*R37*S37</f>
        <v/>
      </c>
      <c r="W36" s="13">
        <f>IF(V37&lt;0,0,V37)</f>
        <v/>
      </c>
    </row>
    <row r="37" ht="14.25" customHeight="1" s="95">
      <c r="E37" s="99" t="n"/>
      <c r="F37" s="99" t="n"/>
      <c r="G37" s="36" t="n"/>
      <c r="H37" s="36" t="n"/>
      <c r="I37" s="64" t="n"/>
      <c r="J37" s="25" t="inlineStr">
        <is>
          <t>硬件工程师-PCB设计</t>
        </is>
      </c>
      <c r="K37" s="21" t="inlineStr">
        <is>
          <t>@童景顺(80004217)(童景顺)</t>
        </is>
      </c>
      <c r="L37" s="23" t="n">
        <v>46242</v>
      </c>
      <c r="M37" s="23" t="n">
        <v>46245</v>
      </c>
      <c r="N37" s="30" t="n">
        <v>7</v>
      </c>
      <c r="O37" s="7">
        <f>'任务计划表'!K38</f>
        <v/>
      </c>
      <c r="P37" s="15">
        <f>IF(IF('任务计划表'!L38="/",'人员资源情况'!$A$2,L38)&gt;M38,M38,(IF('任务计划表'!L38="/",'人员资源情况'!$A$2,L38)))</f>
        <v/>
      </c>
      <c r="Q37" s="15">
        <f>IF(M38="/",'人员资源情况'!$B$2,'任务计划表'!M38)</f>
        <v/>
      </c>
      <c r="R37" s="13">
        <f>'任务计划表'!N38</f>
        <v/>
      </c>
      <c r="S37" s="10">
        <f>IF(O38='人员资源情况'!C$2,1,0)</f>
        <v/>
      </c>
      <c r="T37" s="10">
        <f>IF(P38&gt;='人员资源情况'!A$2,1,0)</f>
        <v/>
      </c>
      <c r="U37" s="10" t="inlineStr"/>
      <c r="V37" s="12">
        <f>IF(T38*U38,Q38-P38,IF(T38&gt;U38,'人员资源情况'!B$2-P38,IF(T38&lt;U38,'任务计划表'!Q38-'人员资源情况'!A$2,0)))*R38*S38</f>
        <v/>
      </c>
      <c r="W37" s="13">
        <f>IF(V38&lt;0,0,V38)</f>
        <v/>
      </c>
    </row>
    <row r="38" ht="14.25" customHeight="1" s="95">
      <c r="E38" s="99" t="n"/>
      <c r="F38" s="99" t="n"/>
      <c r="G38" s="36" t="n"/>
      <c r="H38" s="36" t="n"/>
      <c r="I38" s="64" t="n"/>
      <c r="J38" s="36" t="inlineStr">
        <is>
          <t>固件概要设计</t>
        </is>
      </c>
      <c r="K38" s="21" t="inlineStr">
        <is>
          <t xml:space="preserve"> @项家祺(80004213)(项家祺)</t>
        </is>
      </c>
      <c r="L38" s="23" t="n">
        <v>46221</v>
      </c>
      <c r="M38" s="23" t="n">
        <v>46241</v>
      </c>
      <c r="N38" s="30" t="n">
        <v>2</v>
      </c>
      <c r="O38" s="7">
        <f>'任务计划表'!K39</f>
        <v/>
      </c>
      <c r="P38" s="15">
        <f>IF(IF('任务计划表'!L39="/",'人员资源情况'!$A$2,L39)&gt;M39,M39,(IF('任务计划表'!L39="/",'人员资源情况'!$A$2,L39)))</f>
        <v/>
      </c>
      <c r="Q38" s="15">
        <f>IF(M39="/",'人员资源情况'!$B$2,'任务计划表'!M39)</f>
        <v/>
      </c>
      <c r="R38" s="13">
        <f>'任务计划表'!N39</f>
        <v/>
      </c>
      <c r="S38" s="10">
        <f>IF(O39='人员资源情况'!C$2,1,0)</f>
        <v/>
      </c>
      <c r="T38" s="10">
        <f>IF(P39&gt;='人员资源情况'!A$2,1,0)</f>
        <v/>
      </c>
      <c r="U38" s="10" t="inlineStr"/>
      <c r="V38" s="12">
        <f>IF(T39*U39,Q39-P39,IF(T39&gt;U39,'人员资源情况'!B$2-P39,IF(T39&lt;U39,'任务计划表'!Q39-'人员资源情况'!A$2,0)))*R39*S39</f>
        <v/>
      </c>
      <c r="W38" s="13">
        <f>IF(V39&lt;0,0,V39)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固件开发-乌拉圭版本移植</t>
        </is>
      </c>
      <c r="K39" s="21" t="inlineStr">
        <is>
          <t xml:space="preserve"> @李昊龙(80016809)</t>
        </is>
      </c>
      <c r="L39" s="23" t="n">
        <v>46242</v>
      </c>
      <c r="M39" s="23" t="n">
        <v>46264</v>
      </c>
      <c r="N39" s="30" t="n">
        <v>1</v>
      </c>
      <c r="O39" s="7">
        <f>'任务计划表'!K40</f>
        <v/>
      </c>
      <c r="P39" s="15">
        <f>IF(IF('任务计划表'!L40="/",'人员资源情况'!$A$2,L40)&gt;M40,M40,(IF('任务计划表'!L40="/",'人员资源情况'!$A$2,L40)))</f>
        <v/>
      </c>
      <c r="Q39" s="15">
        <f>IF(M40="/",'人员资源情况'!$B$2,'任务计划表'!M40)</f>
        <v/>
      </c>
      <c r="R39" s="13">
        <f>'任务计划表'!N40</f>
        <v/>
      </c>
      <c r="S39" s="10">
        <f>IF(O40='人员资源情况'!C$2,1,0)</f>
        <v/>
      </c>
      <c r="T39" s="10">
        <f>IF(P40&gt;='人员资源情况'!A$2,1,0)</f>
        <v/>
      </c>
      <c r="U39" s="10" t="inlineStr"/>
      <c r="V39" s="12">
        <f>IF(T40*U40,Q40-P40,IF(T40&gt;U40,'人员资源情况'!B$2-P40,IF(T40&lt;U40,'任务计划表'!Q40-'人员资源情况'!A$2,0)))*R40*S40</f>
        <v/>
      </c>
      <c r="W39" s="13">
        <f>IF(V40&lt;0,0,V40)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@袁琮欣(80015786)(袁琮欣)</t>
        </is>
      </c>
      <c r="L40" s="23" t="n">
        <v>46242</v>
      </c>
      <c r="M40" s="23" t="n">
        <v>46264</v>
      </c>
      <c r="N40" s="30" t="n">
        <v>1</v>
      </c>
      <c r="O40" s="7">
        <f>'任务计划表'!K41</f>
        <v/>
      </c>
      <c r="P40" s="15">
        <f>IF(IF('任务计划表'!L41="/",'人员资源情况'!$A$2,L41)&gt;M41,M41,(IF('任务计划表'!L41="/",'人员资源情况'!$A$2,L41)))</f>
        <v/>
      </c>
      <c r="Q40" s="15">
        <f>IF(M41="/",'人员资源情况'!$B$2,'任务计划表'!M41)</f>
        <v/>
      </c>
      <c r="R40" s="13">
        <f>'任务计划表'!N41</f>
        <v/>
      </c>
      <c r="S40" s="10">
        <f>IF(O41='人员资源情况'!C$2,1,0)</f>
        <v/>
      </c>
      <c r="T40" s="10">
        <f>IF(P41&gt;='人员资源情况'!A$2,1,0)</f>
        <v/>
      </c>
      <c r="U40" s="10" t="inlineStr"/>
      <c r="V40" s="12">
        <f>IF(T41*U41,Q41-P41,IF(T41&gt;U41,'人员资源情况'!B$2-P41,IF(T41&lt;U41,'任务计划表'!Q41-'人员资源情况'!A$2,0)))*R41*S41</f>
        <v/>
      </c>
      <c r="W40" s="13">
        <f>IF(V41&lt;0,0,V41)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固件工程师-固件内测</t>
        </is>
      </c>
      <c r="K41" s="21" t="inlineStr">
        <is>
          <t xml:space="preserve"> @张国庆(80019159)</t>
        </is>
      </c>
      <c r="L41" s="23" t="n">
        <v>46276</v>
      </c>
      <c r="M41" s="23" t="n">
        <v>46279</v>
      </c>
      <c r="N41" s="30" t="n">
        <v>8</v>
      </c>
      <c r="O41" s="7">
        <f>'任务计划表'!K42</f>
        <v/>
      </c>
      <c r="P41" s="15">
        <f>IF(IF('任务计划表'!L42="/",'人员资源情况'!$A$2,L42)&gt;M42,M42,(IF('任务计划表'!L42="/",'人员资源情况'!$A$2,L42)))</f>
        <v/>
      </c>
      <c r="Q41" s="15">
        <f>IF(M42="/",'人员资源情况'!$B$2,'任务计划表'!M42)</f>
        <v/>
      </c>
      <c r="R41" s="13">
        <f>'任务计划表'!N42</f>
        <v/>
      </c>
      <c r="S41" s="10">
        <f>IF(O42='人员资源情况'!C$2,1,0)</f>
        <v/>
      </c>
      <c r="T41" s="10">
        <f>IF(P42&gt;='人员资源情况'!A$2,1,0)</f>
        <v/>
      </c>
      <c r="U41" s="10" t="inlineStr"/>
      <c r="V41" s="12">
        <f>IF(T42*U42,Q42-P42,IF(T42&gt;U42,'人员资源情况'!B$2-P42,IF(T42&lt;U42,'任务计划表'!Q42-'人员资源情况'!A$2,0)))*R42*S42</f>
        <v/>
      </c>
      <c r="W41" s="13">
        <f>IF(V42&lt;0,0,V42)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固件工程师-内容修复</t>
        </is>
      </c>
      <c r="K42" s="21" t="inlineStr">
        <is>
          <t xml:space="preserve"> @袁琮欣(80015786)(袁琮欣)</t>
        </is>
      </c>
      <c r="L42" s="23" t="n">
        <v>46278</v>
      </c>
      <c r="M42" s="23" t="n">
        <v>46278</v>
      </c>
      <c r="N42" s="30" t="n">
        <v>8</v>
      </c>
      <c r="O42" s="7">
        <f>'任务计划表'!K43</f>
        <v/>
      </c>
      <c r="P42" s="15">
        <f>IF(IF('任务计划表'!L43="/",'人员资源情况'!$A$2,L43)&gt;M43,M43,(IF('任务计划表'!L43="/",'人员资源情况'!$A$2,L43)))</f>
        <v/>
      </c>
      <c r="Q42" s="15">
        <f>IF(M43="/",'人员资源情况'!$B$2,'任务计划表'!M43)</f>
        <v/>
      </c>
      <c r="R42" s="13">
        <f>'任务计划表'!N43</f>
        <v/>
      </c>
      <c r="S42" s="10">
        <f>IF(O43='人员资源情况'!C$2,1,0)</f>
        <v/>
      </c>
      <c r="T42" s="10">
        <f>IF(P43&gt;='人员资源情况'!A$2,1,0)</f>
        <v/>
      </c>
      <c r="U42" s="10" t="inlineStr"/>
      <c r="V42" s="12">
        <f>IF(T43*U43,Q43-P43,IF(T43&gt;U43,'人员资源情况'!B$2-P43,IF(T43&lt;U43,'任务计划表'!Q43-'人员资源情况'!A$2,0)))*R43*S43</f>
        <v/>
      </c>
      <c r="W42" s="13">
        <f>IF(V43&lt;0,0,V43)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固件工程师-测试跟踪</t>
        </is>
      </c>
      <c r="K43" s="21" t="inlineStr">
        <is>
          <t xml:space="preserve"> @袁琮欣(80015786)(袁琮欣)</t>
        </is>
      </c>
      <c r="L43" s="23" t="n">
        <v>46279</v>
      </c>
      <c r="M43" s="23" t="n">
        <v>46311</v>
      </c>
      <c r="N43" s="30" t="n">
        <v>1</v>
      </c>
      <c r="O43" s="7">
        <f>'任务计划表'!K44</f>
        <v/>
      </c>
      <c r="P43" s="15">
        <f>IF(IF('任务计划表'!L44="/",'人员资源情况'!$A$2,L44)&gt;M44,M44,(IF('任务计划表'!L44="/",'人员资源情况'!$A$2,L44)))</f>
        <v/>
      </c>
      <c r="Q43" s="15">
        <f>IF(M44="/",'人员资源情况'!$B$2,'任务计划表'!M44)</f>
        <v/>
      </c>
      <c r="R43" s="13">
        <f>'任务计划表'!N44</f>
        <v/>
      </c>
      <c r="S43" s="10">
        <f>IF(O44='人员资源情况'!C$2,1,0)</f>
        <v/>
      </c>
      <c r="T43" s="10">
        <f>IF(P44&gt;='人员资源情况'!A$2,1,0)</f>
        <v/>
      </c>
      <c r="U43" s="10" t="inlineStr"/>
      <c r="V43" s="12">
        <f>IF(T44*U44,Q44-P44,IF(T44&gt;U44,'人员资源情况'!B$2-P44,IF(T44&lt;U44,'任务计划表'!Q44-'人员资源情况'!A$2,0)))*R44*S44</f>
        <v/>
      </c>
      <c r="W43" s="13">
        <f>IF(V44&lt;0,0,V44)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@李昊龙(80016809)</t>
        </is>
      </c>
      <c r="L44" s="23" t="n">
        <v>46279</v>
      </c>
      <c r="M44" s="23" t="n">
        <v>46311</v>
      </c>
      <c r="N44" s="30" t="n">
        <v>1.5</v>
      </c>
      <c r="O44" s="7">
        <f>'任务计划表'!K45</f>
        <v/>
      </c>
      <c r="P44" s="15">
        <f>IF(IF('任务计划表'!L45="/",'人员资源情况'!$A$2,L45)&gt;M45,M45,(IF('任务计划表'!L45="/",'人员资源情况'!$A$2,L45)))</f>
        <v/>
      </c>
      <c r="Q44" s="15">
        <f>IF(M45="/",'人员资源情况'!$B$2,'任务计划表'!M45)</f>
        <v/>
      </c>
      <c r="R44" s="13">
        <f>'任务计划表'!N45</f>
        <v/>
      </c>
      <c r="S44" s="10">
        <f>IF(O45='人员资源情况'!C$2,1,0)</f>
        <v/>
      </c>
      <c r="T44" s="10">
        <f>IF(P45&gt;='人员资源情况'!A$2,1,0)</f>
        <v/>
      </c>
      <c r="U44" s="10" t="inlineStr"/>
      <c r="V44" s="12">
        <f>IF(T45*U45,Q45-P45,IF(T45&gt;U45,'人员资源情况'!B$2-P45,IF(T45&lt;U45,'任务计划表'!Q45-'人员资源情况'!A$2,0)))*R45*S45</f>
        <v/>
      </c>
      <c r="W44" s="13">
        <f>IF(V45&lt;0,0,V45)</f>
        <v/>
      </c>
    </row>
    <row r="45" ht="14.25" customHeight="1" s="95">
      <c r="E45" s="99" t="n"/>
      <c r="F45" s="99" t="n"/>
      <c r="G45" s="36" t="n"/>
      <c r="H45" s="36" t="n"/>
      <c r="I45" s="37" t="n"/>
      <c r="J45" s="18" t="inlineStr">
        <is>
          <t>乌拉圭投标样机</t>
        </is>
      </c>
      <c r="K45" s="21" t="inlineStr">
        <is>
          <t xml:space="preserve"> @童景顺(80004217)(童景顺)</t>
        </is>
      </c>
      <c r="L45" s="23" t="n">
        <v>46295</v>
      </c>
      <c r="M45" s="23" t="n">
        <v>46295</v>
      </c>
      <c r="N45" s="30" t="n">
        <v>0</v>
      </c>
      <c r="O45" s="7">
        <f>'任务计划表'!K46</f>
        <v/>
      </c>
      <c r="P45" s="15">
        <f>IF(IF('任务计划表'!L46="/",'人员资源情况'!$A$2,L46)&gt;M46,M46,(IF('任务计划表'!L46="/",'人员资源情况'!$A$2,L46)))</f>
        <v/>
      </c>
      <c r="Q45" s="15">
        <f>IF(M46="/",'人员资源情况'!$B$2,'任务计划表'!M46)</f>
        <v/>
      </c>
      <c r="R45" s="13">
        <f>'任务计划表'!N46</f>
        <v/>
      </c>
      <c r="S45" s="10">
        <f>IF(O46='人员资源情况'!C$2,1,0)</f>
        <v/>
      </c>
      <c r="T45" s="10">
        <f>IF(P46&gt;='人员资源情况'!A$2,1,0)</f>
        <v/>
      </c>
      <c r="U45" s="10" t="inlineStr"/>
      <c r="V45" s="12">
        <f>IF(T46*U46,Q46-P46,IF(T46&gt;U46,'人员资源情况'!B$2-P46,IF(T46&lt;U46,'任务计划表'!Q46-'人员资源情况'!A$2,0)))*R46*S46</f>
        <v/>
      </c>
      <c r="W45" s="13">
        <f>IF(V46&lt;0,0,V46)</f>
        <v/>
      </c>
    </row>
    <row r="46" ht="14.25" customHeight="1" s="95">
      <c r="E46" s="99" t="n"/>
      <c r="F46" s="100" t="n"/>
      <c r="G46" s="36" t="n"/>
      <c r="H46" s="36" t="n"/>
      <c r="I46" s="37" t="n"/>
      <c r="J46" s="33" t="inlineStr">
        <is>
          <t>项目经理</t>
        </is>
      </c>
      <c r="K46" s="21" t="inlineStr">
        <is>
          <t xml:space="preserve"> @答金雨(80016793)</t>
        </is>
      </c>
      <c r="L46" s="23" t="n">
        <v>46206</v>
      </c>
      <c r="M46" s="23" t="n">
        <v>46258</v>
      </c>
      <c r="N46" s="30" t="n">
        <v>0.5</v>
      </c>
      <c r="O46" s="7">
        <f>'任务计划表'!K47</f>
        <v/>
      </c>
      <c r="P46" s="15">
        <f>IF(IF('任务计划表'!L47="/",'人员资源情况'!$A$2,L47)&gt;M47,M47,(IF('任务计划表'!L47="/",'人员资源情况'!$A$2,L47)))</f>
        <v/>
      </c>
      <c r="Q46" s="15">
        <f>IF(M47="/",'人员资源情况'!$B$2,'任务计划表'!M47)</f>
        <v/>
      </c>
      <c r="R46" s="13">
        <f>'任务计划表'!N47</f>
        <v/>
      </c>
      <c r="S46" s="10">
        <f>IF(O47='人员资源情况'!C$2,1,0)</f>
        <v/>
      </c>
      <c r="T46" s="10">
        <f>IF(P47&gt;='人员资源情况'!A$2,1,0)</f>
        <v/>
      </c>
      <c r="U46" s="10" t="inlineStr"/>
      <c r="V46" s="12">
        <f>IF(T47*U47,Q47-P47,IF(T47&gt;U47,'人员资源情况'!B$2-P47,IF(T47&lt;U47,'任务计划表'!Q47-'人员资源情况'!A$2,0)))*R47*S47</f>
        <v/>
      </c>
      <c r="W46" s="13">
        <f>IF(V47&lt;0,0,V47)</f>
        <v/>
      </c>
    </row>
    <row r="47" ht="14.25" customHeight="1" s="95">
      <c r="D47" s="13" t="inlineStr">
        <is>
          <t>1day</t>
        </is>
      </c>
      <c r="E47" s="100" t="n"/>
      <c r="F47" s="99" t="n"/>
      <c r="G47" s="36" t="n"/>
      <c r="H47" s="36" t="n"/>
      <c r="I47" s="37" t="n"/>
      <c r="J47" s="33" t="inlineStr">
        <is>
          <t>SE设计</t>
        </is>
      </c>
      <c r="K47" s="21" t="inlineStr">
        <is>
          <t xml:space="preserve"> @毛文豪(80018842)</t>
        </is>
      </c>
      <c r="L47" s="36" t="inlineStr">
        <is>
          <t>/</t>
        </is>
      </c>
      <c r="M47" s="23" t="n">
        <v>46225</v>
      </c>
      <c r="N47" s="30" t="n">
        <v>8</v>
      </c>
      <c r="O47" s="7">
        <f>'任务计划表'!K48</f>
        <v/>
      </c>
      <c r="P47" s="15">
        <f>IF(IF('任务计划表'!L48="/",'人员资源情况'!$A$2,L48)&gt;M48,M48,(IF('任务计划表'!L48="/",'人员资源情况'!$A$2,L48)))</f>
        <v/>
      </c>
      <c r="Q47" s="15">
        <f>IF(M48="/",'人员资源情况'!$B$2,'任务计划表'!M48)</f>
        <v/>
      </c>
      <c r="R47" s="13">
        <f>'任务计划表'!N48</f>
        <v/>
      </c>
      <c r="S47" s="10">
        <f>IF(O48='人员资源情况'!C$2,1,0)</f>
        <v/>
      </c>
      <c r="T47" s="10">
        <f>IF(P48&gt;='人员资源情况'!A$2,1,0)</f>
        <v/>
      </c>
      <c r="U47" s="10" t="inlineStr"/>
      <c r="V47" s="12">
        <f>IF(T48*U48,Q48-P48,IF(T48&gt;U48,'人员资源情况'!B$2-P48,IF(T48&lt;U48,'任务计划表'!Q48-'人员资源情况'!A$2,0)))*R48*S48</f>
        <v/>
      </c>
      <c r="W47" s="13">
        <f>IF(V48&lt;0,0,V48)</f>
        <v/>
      </c>
    </row>
    <row r="48" ht="14.25" customHeight="1" s="95">
      <c r="D48" s="13" t="inlineStr">
        <is>
          <t>3days</t>
        </is>
      </c>
      <c r="E48" s="99" t="n"/>
      <c r="F48" s="99" t="n"/>
      <c r="G48" s="36" t="n"/>
      <c r="H48" s="36" t="n"/>
      <c r="I48" s="37" t="n"/>
      <c r="J48" s="33" t="inlineStr">
        <is>
          <t>固件工程师-固件开发</t>
        </is>
      </c>
      <c r="K48" s="21" t="inlineStr">
        <is>
          <t xml:space="preserve"> @毛文豪(80018842)</t>
        </is>
      </c>
      <c r="L48" s="23" t="n">
        <v>46225</v>
      </c>
      <c r="M48" s="23" t="n">
        <v>46228</v>
      </c>
      <c r="N48" s="30" t="n">
        <v>7</v>
      </c>
      <c r="O48" s="7">
        <f>'任务计划表'!K49</f>
        <v/>
      </c>
      <c r="P48" s="15">
        <f>IF(IF('任务计划表'!L49="/",'人员资源情况'!$A$2,L49)&gt;M49,M49,(IF('任务计划表'!L49="/",'人员资源情况'!$A$2,L49)))</f>
        <v/>
      </c>
      <c r="Q48" s="15">
        <f>IF(M49="/",'人员资源情况'!$B$2,'任务计划表'!M49)</f>
        <v/>
      </c>
      <c r="R48" s="13">
        <f>'任务计划表'!N49</f>
        <v/>
      </c>
      <c r="S48" s="10">
        <f>IF(O49='人员资源情况'!C$2,1,0)</f>
        <v/>
      </c>
      <c r="T48" s="10">
        <f>IF(P49&gt;='人员资源情况'!A$2,1,0)</f>
        <v/>
      </c>
      <c r="U48" s="10" t="inlineStr"/>
      <c r="V48" s="12">
        <f>IF(T49*U49,Q49-P49,IF(T49&gt;U49,'人员资源情况'!B$2-P49,IF(T49&lt;U49,'任务计划表'!Q49-'人员资源情况'!A$2,0)))*R49*S49</f>
        <v/>
      </c>
      <c r="W48" s="13">
        <f>IF(V49&lt;0,0,V49)</f>
        <v/>
      </c>
    </row>
    <row r="49" ht="14.25" customHeight="1" s="95">
      <c r="D49" s="13" t="inlineStr">
        <is>
          <t>14days</t>
        </is>
      </c>
      <c r="E49" s="99" t="n"/>
      <c r="F49" s="99" t="n"/>
      <c r="G49" s="36" t="n"/>
      <c r="H49" s="36" t="n"/>
      <c r="I49" s="37" t="n"/>
      <c r="J49" s="33" t="inlineStr">
        <is>
          <t>固件工程师-测试跟踪</t>
        </is>
      </c>
      <c r="K49" s="21" t="inlineStr">
        <is>
          <t xml:space="preserve"> @毛文豪(80018842)</t>
        </is>
      </c>
      <c r="L49" s="23" t="n">
        <v>46228</v>
      </c>
      <c r="M49" s="23" t="n">
        <v>46243</v>
      </c>
      <c r="N49" s="30" t="n">
        <v>2</v>
      </c>
      <c r="O49" s="7">
        <f>'任务计划表'!K50</f>
        <v/>
      </c>
      <c r="P49" s="15">
        <f>IF(IF('任务计划表'!L50="/",'人员资源情况'!$A$2,L50)&gt;M50,M50,(IF('任务计划表'!L50="/",'人员资源情况'!$A$2,L50)))</f>
        <v/>
      </c>
      <c r="Q49" s="15">
        <f>IF(M50="/",'人员资源情况'!$B$2,'任务计划表'!M50)</f>
        <v/>
      </c>
      <c r="R49" s="13">
        <f>'任务计划表'!N50</f>
        <v/>
      </c>
      <c r="S49" s="10">
        <f>IF(O50='人员资源情况'!C$2,1,0)</f>
        <v/>
      </c>
      <c r="T49" s="10">
        <f>IF(P50&gt;='人员资源情况'!A$2,1,0)</f>
        <v/>
      </c>
      <c r="U49" s="10" t="inlineStr"/>
      <c r="V49" s="12">
        <f>IF(T50*U50,Q50-P50,IF(T50&gt;U50,'人员资源情况'!B$2-P50,IF(T50&lt;U50,'任务计划表'!Q50-'人员资源情况'!A$2,0)))*R50*S50</f>
        <v/>
      </c>
      <c r="W49" s="13">
        <f>IF(V50&lt;0,0,V50)</f>
        <v/>
      </c>
    </row>
    <row r="50" ht="14.25" customHeight="1" s="95">
      <c r="E50" s="99" t="n"/>
      <c r="F50" s="99" t="n"/>
      <c r="G50" s="38" t="n"/>
      <c r="H50" s="82" t="n"/>
      <c r="I50" s="61" t="n"/>
      <c r="J50" s="33" t="inlineStr">
        <is>
          <t>固件工程师-固件开发</t>
        </is>
      </c>
      <c r="K50" s="21" t="inlineStr">
        <is>
          <t xml:space="preserve"> @危才文(80018808)</t>
        </is>
      </c>
      <c r="L50" s="23" t="n">
        <v>46220</v>
      </c>
      <c r="M50" s="23" t="n">
        <v>46223</v>
      </c>
      <c r="N50" s="37" t="n">
        <v>4</v>
      </c>
      <c r="O50" s="7">
        <f>'任务计划表'!K51</f>
        <v/>
      </c>
      <c r="P50" s="15">
        <f>IF(IF('任务计划表'!L51="/",'人员资源情况'!$A$2,L51)&gt;M51,M51,(IF('任务计划表'!L51="/",'人员资源情况'!$A$2,L51)))</f>
        <v/>
      </c>
      <c r="Q50" s="15">
        <f>IF(M51="/",'人员资源情况'!$B$2,'任务计划表'!M51)</f>
        <v/>
      </c>
      <c r="R50" s="13">
        <f>'任务计划表'!N51</f>
        <v/>
      </c>
      <c r="S50" s="10">
        <f>IF(O51='人员资源情况'!C$2,1,0)</f>
        <v/>
      </c>
      <c r="T50" s="10">
        <f>IF(P51&gt;='人员资源情况'!A$2,1,0)</f>
        <v/>
      </c>
      <c r="U50" s="10" t="inlineStr"/>
      <c r="V50" s="12">
        <f>IF(T51*U51,Q51-P51,IF(T51&gt;U51,'人员资源情况'!B$2-P51,IF(T51&lt;U51,'任务计划表'!Q51-'人员资源情况'!A$2,0)))*R51*S51</f>
        <v/>
      </c>
      <c r="W50" s="13">
        <f>IF(V51&lt;0,0,V51)</f>
        <v/>
      </c>
    </row>
    <row r="51" ht="14.25" customHeight="1" s="95">
      <c r="E51" s="100" t="n"/>
      <c r="F51" s="30" t="inlineStr">
        <is>
          <t>沙特-NB水表</t>
        </is>
      </c>
      <c r="G51" s="38" t="n">
        <v>46206</v>
      </c>
      <c r="H51" s="82" t="inlineStr">
        <is>
          <t>/</t>
        </is>
      </c>
      <c r="I51" s="30" t="inlineStr">
        <is>
          <t>预研阶段</t>
        </is>
      </c>
      <c r="J51" s="23" t="inlineStr">
        <is>
          <t>硬件工程师</t>
        </is>
      </c>
      <c r="K51" s="21" t="inlineStr">
        <is>
          <t>@童景顺(80004217)(童景顺)</t>
        </is>
      </c>
      <c r="L51" s="23" t="n"/>
      <c r="M51" s="23" t="n"/>
      <c r="N51" s="37" t="n">
        <v>2</v>
      </c>
      <c r="O51" s="7">
        <f>'任务计划表'!K52</f>
        <v/>
      </c>
      <c r="P51" s="15">
        <f>IF(IF('任务计划表'!L52="/",'人员资源情况'!$A$2,L52)&gt;M52,M52,(IF('任务计划表'!L52="/",'人员资源情况'!$A$2,L52)))</f>
        <v/>
      </c>
      <c r="Q51" s="15">
        <f>IF(M52="/",'人员资源情况'!$B$2,'任务计划表'!M52)</f>
        <v/>
      </c>
      <c r="R51" s="13">
        <f>'任务计划表'!N52</f>
        <v/>
      </c>
      <c r="S51" s="10">
        <f>IF(O52='人员资源情况'!C$2,1,0)</f>
        <v/>
      </c>
      <c r="T51" s="10">
        <f>IF(P52&gt;='人员资源情况'!A$2,1,0)</f>
        <v/>
      </c>
      <c r="U51" s="10" t="inlineStr"/>
      <c r="V51" s="12">
        <f>IF(T52*U52,Q52-P52,IF(T52&gt;U52,'人员资源情况'!B$2-P52,IF(T52&lt;U52,'任务计划表'!Q52-'人员资源情况'!A$2,0)))*R52*S52</f>
        <v/>
      </c>
      <c r="W51" s="13">
        <f>IF(V52&lt;0,0,V52)</f>
        <v/>
      </c>
    </row>
    <row r="52" ht="14.25" customHeight="1" s="95">
      <c r="E52" s="100" t="n"/>
      <c r="F52" s="100" t="n"/>
      <c r="G52" s="36" t="n"/>
      <c r="H52" s="36" t="n"/>
      <c r="I52" s="100" t="n"/>
      <c r="J52" s="36" t="inlineStr">
        <is>
          <t>固件工程师-压力传感器学习</t>
        </is>
      </c>
      <c r="K52" s="21" t="inlineStr">
        <is>
          <t xml:space="preserve"> @魏殷浩(80019157)</t>
        </is>
      </c>
      <c r="L52" s="23" t="n">
        <v>46210</v>
      </c>
      <c r="M52" s="23" t="n">
        <v>46213</v>
      </c>
      <c r="N52" s="37" t="n">
        <v>6</v>
      </c>
      <c r="O52" s="7">
        <f>'任务计划表'!K53</f>
        <v/>
      </c>
      <c r="P52" s="15">
        <f>IF(IF('任务计划表'!L53="/",'人员资源情况'!$A$2,L53)&gt;M53,M53,(IF('任务计划表'!L53="/",'人员资源情况'!$A$2,L53)))</f>
        <v/>
      </c>
      <c r="Q52" s="15">
        <f>IF(M53="/",'人员资源情况'!$B$2,'任务计划表'!M53)</f>
        <v/>
      </c>
      <c r="R52" s="13">
        <f>'任务计划表'!N53</f>
        <v/>
      </c>
      <c r="S52" s="10">
        <f>IF(O53='人员资源情况'!C$2,1,0)</f>
        <v/>
      </c>
      <c r="T52" s="10">
        <f>IF(P53&gt;='人员资源情况'!A$2,1,0)</f>
        <v/>
      </c>
      <c r="U52" s="10" t="inlineStr"/>
      <c r="V52" s="12">
        <f>IF(T53*U53,Q53-P53,IF(T53&gt;U53,'人员资源情况'!B$2-P53,IF(T53&lt;U53,'任务计划表'!Q53-'人员资源情况'!A$2,0)))*R53*S53</f>
        <v/>
      </c>
      <c r="W52" s="13">
        <f>IF(V53&lt;0,0,V53)</f>
        <v/>
      </c>
    </row>
    <row r="53" ht="14.25" customHeight="1" s="95">
      <c r="E53" s="99" t="n"/>
      <c r="F53" s="99" t="n"/>
      <c r="G53" s="36" t="n"/>
      <c r="H53" s="36" t="n"/>
      <c r="I53" s="99" t="n"/>
      <c r="J53" s="23" t="inlineStr">
        <is>
          <t>固件工程师-压力传感器驱动开发</t>
        </is>
      </c>
      <c r="K53" s="21" t="inlineStr">
        <is>
          <t xml:space="preserve"> @魏殷浩(80019157)</t>
        </is>
      </c>
      <c r="L53" s="23" t="n">
        <v>46223</v>
      </c>
      <c r="M53" s="23" t="n">
        <v>46234</v>
      </c>
      <c r="N53" s="37" t="n">
        <v>7</v>
      </c>
      <c r="O53" s="7">
        <f>'任务计划表'!K54</f>
        <v/>
      </c>
      <c r="P53" s="15">
        <f>IF(IF('任务计划表'!L54="/",'人员资源情况'!$A$2,L54)&gt;M54,M54,(IF('任务计划表'!L54="/",'人员资源情况'!$A$2,L54)))</f>
        <v/>
      </c>
      <c r="Q53" s="15">
        <f>IF(M54="/",'人员资源情况'!$B$2,'任务计划表'!M54)</f>
        <v/>
      </c>
      <c r="R53" s="13">
        <f>'任务计划表'!N54</f>
        <v/>
      </c>
      <c r="S53" s="10">
        <f>IF(O54='人员资源情况'!C$2,1,0)</f>
        <v/>
      </c>
      <c r="T53" s="10">
        <f>IF(P54&gt;='人员资源情况'!A$2,1,0)</f>
        <v/>
      </c>
      <c r="U53" s="10" t="inlineStr"/>
      <c r="V53" s="12">
        <f>IF(T54*U54,Q54-P54,IF(T54&gt;U54,'人员资源情况'!B$2-P54,IF(T54&lt;U54,'任务计划表'!Q54-'人员资源情况'!A$2,0)))*R54*S54</f>
        <v/>
      </c>
      <c r="W53" s="13">
        <f>IF(V54&lt;0,0,V54)</f>
        <v/>
      </c>
    </row>
    <row r="54" ht="14.25" customHeight="1" s="95">
      <c r="E54" s="99" t="n"/>
      <c r="F54" s="99" t="n"/>
      <c r="G54" s="36" t="n"/>
      <c r="H54" s="36" t="n"/>
      <c r="I54" s="99" t="n"/>
      <c r="J54" s="36" t="inlineStr">
        <is>
          <t>硬件工程师-压力功能性能测试</t>
        </is>
      </c>
      <c r="K54" s="21" t="inlineStr">
        <is>
          <t xml:space="preserve"> @姚金星(80019160)</t>
        </is>
      </c>
      <c r="L54" s="23" t="n">
        <v>46210</v>
      </c>
      <c r="M54" s="23" t="n">
        <v>46213</v>
      </c>
      <c r="N54" s="37" t="n">
        <v>4</v>
      </c>
      <c r="O54" s="7">
        <f>'任务计划表'!K55</f>
        <v/>
      </c>
      <c r="P54" s="15">
        <f>IF(IF('任务计划表'!L55="/",'人员资源情况'!$A$2,L55)&gt;M55,M55,(IF('任务计划表'!L55="/",'人员资源情况'!$A$2,L55)))</f>
        <v/>
      </c>
      <c r="Q54" s="15">
        <f>IF(M55="/",'人员资源情况'!$B$2,'任务计划表'!M55)</f>
        <v/>
      </c>
      <c r="R54" s="13">
        <f>'任务计划表'!N55</f>
        <v/>
      </c>
      <c r="S54" s="10">
        <f>IF(O55='人员资源情况'!C$2,1,0)</f>
        <v/>
      </c>
      <c r="T54" s="10">
        <f>IF(P55&gt;='人员资源情况'!A$2,1,0)</f>
        <v/>
      </c>
      <c r="U54" s="10" t="inlineStr"/>
      <c r="V54" s="12">
        <f>IF(T55*U55,Q55-P55,IF(T55&gt;U55,'人员资源情况'!B$2-P55,IF(T55&lt;U55,'任务计划表'!Q55-'人员资源情况'!A$2,0)))*R55*S55</f>
        <v/>
      </c>
      <c r="W54" s="13">
        <f>IF(V55&lt;0,0,V55)</f>
        <v/>
      </c>
    </row>
    <row r="55" ht="14.25" customHeight="1" s="95">
      <c r="E55" s="100" t="n"/>
      <c r="F55" s="100" t="n"/>
      <c r="G55" s="36" t="n"/>
      <c r="H55" s="36" t="n"/>
      <c r="I55" s="100" t="n"/>
      <c r="J55" s="23" t="inlineStr">
        <is>
          <t>固件工程师-开发</t>
        </is>
      </c>
      <c r="K55" s="21" t="inlineStr">
        <is>
          <t xml:space="preserve"> @危才文(80018808)</t>
        </is>
      </c>
      <c r="L55" s="23" t="n">
        <v>46223</v>
      </c>
      <c r="M55" s="23" t="n">
        <v>46238</v>
      </c>
      <c r="N55" s="37" t="n">
        <v>6</v>
      </c>
      <c r="O55" s="7">
        <f>'任务计划表'!K56</f>
        <v/>
      </c>
      <c r="P55" s="15">
        <f>IF(IF('任务计划表'!L56="/",'人员资源情况'!$A$2,L56)&gt;M56,M56,(IF('任务计划表'!L56="/",'人员资源情况'!$A$2,L56)))</f>
        <v/>
      </c>
      <c r="Q55" s="15">
        <f>IF(M56="/",'人员资源情况'!$B$2,'任务计划表'!M56)</f>
        <v/>
      </c>
      <c r="R55" s="13">
        <f>'任务计划表'!N56</f>
        <v/>
      </c>
      <c r="S55" s="10">
        <f>IF(O56='人员资源情况'!C$2,1,0)</f>
        <v/>
      </c>
      <c r="T55" s="10">
        <f>IF(P56&gt;='人员资源情况'!A$2,1,0)</f>
        <v/>
      </c>
      <c r="U55" s="10" t="inlineStr"/>
      <c r="V55" s="12">
        <f>IF(T56*U56,Q56-P56,IF(T56&gt;U56,'人员资源情况'!B$2-P56,IF(T56&lt;U56,'任务计划表'!Q56-'人员资源情况'!A$2,0)))*R56*S56</f>
        <v/>
      </c>
      <c r="W55" s="13">
        <f>IF(V56&lt;0,0,V56)</f>
        <v/>
      </c>
    </row>
    <row r="56" ht="14.25" customHeight="1" s="95">
      <c r="E56" s="100" t="n"/>
      <c r="F56" s="100" t="n"/>
      <c r="G56" s="36" t="n"/>
      <c r="H56" s="36" t="n"/>
      <c r="I56" s="100" t="n"/>
      <c r="J56" s="23" t="inlineStr">
        <is>
          <t>固件工程师-回归测试</t>
        </is>
      </c>
      <c r="K56" s="21" t="inlineStr">
        <is>
          <t xml:space="preserve"> @危才文(80018808)</t>
        </is>
      </c>
      <c r="L56" s="23" t="n">
        <v>46239</v>
      </c>
      <c r="M56" s="23" t="n">
        <v>46249</v>
      </c>
      <c r="N56" s="30" t="n">
        <v>2</v>
      </c>
      <c r="O56" s="7">
        <f>'任务计划表'!K57</f>
        <v/>
      </c>
      <c r="P56" s="15">
        <f>IF(IF('任务计划表'!L57="/",'人员资源情况'!$A$2,L57)&gt;M57,M57,(IF('任务计划表'!L57="/",'人员资源情况'!$A$2,L57)))</f>
        <v/>
      </c>
      <c r="Q56" s="15">
        <f>IF(M57="/",'人员资源情况'!$B$2,'任务计划表'!M57)</f>
        <v/>
      </c>
      <c r="R56" s="13">
        <f>'任务计划表'!N57</f>
        <v/>
      </c>
      <c r="S56" s="10">
        <f>IF(O57='人员资源情况'!C$2,1,0)</f>
        <v/>
      </c>
      <c r="T56" s="10">
        <f>IF(P57&gt;='人员资源情况'!A$2,1,0)</f>
        <v/>
      </c>
      <c r="U56" s="10" t="inlineStr"/>
      <c r="V56" s="12">
        <f>IF(T57*U57,Q57-P57,IF(T57&gt;U57,'人员资源情况'!B$2-P57,IF(T57&lt;U57,'任务计划表'!Q57-'人员资源情况'!A$2,0)))*R57*S57</f>
        <v/>
      </c>
      <c r="W56" s="13">
        <f>IF(V57&lt;0,0,V57)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固件工程师-集成测试配合</t>
        </is>
      </c>
      <c r="K57" s="21" t="inlineStr">
        <is>
          <t xml:space="preserve"> @危才文(80018808)</t>
        </is>
      </c>
      <c r="L57" s="23" t="n">
        <v>46250</v>
      </c>
      <c r="M57" s="23" t="n">
        <v>46280</v>
      </c>
      <c r="N57" s="30" t="n">
        <v>1</v>
      </c>
      <c r="O57" s="7">
        <f>'任务计划表'!K58</f>
        <v/>
      </c>
      <c r="P57" s="15">
        <f>IF(IF('任务计划表'!L58="/",'人员资源情况'!$A$2,L58)&gt;M58,M58,(IF('任务计划表'!L58="/",'人员资源情况'!$A$2,L58)))</f>
        <v/>
      </c>
      <c r="Q57" s="15">
        <f>IF(M58="/",'人员资源情况'!$B$2,'任务计划表'!M58)</f>
        <v/>
      </c>
      <c r="R57" s="13">
        <f>'任务计划表'!N58</f>
        <v/>
      </c>
      <c r="S57" s="10">
        <f>IF(O58='人员资源情况'!C$2,1,0)</f>
        <v/>
      </c>
      <c r="T57" s="10">
        <f>IF(P58&gt;='人员资源情况'!A$2,1,0)</f>
        <v/>
      </c>
      <c r="U57" s="10" t="inlineStr"/>
      <c r="V57" s="12">
        <f>IF(T58*U58,Q58-P58,IF(T58&gt;U58,'人员资源情况'!B$2-P58,IF(T58&lt;U58,'任务计划表'!Q58-'人员资源情况'!A$2,0)))*R58*S58</f>
        <v/>
      </c>
      <c r="W57" s="13">
        <f>IF(V58&lt;0,0,V58)</f>
        <v/>
      </c>
    </row>
    <row r="58" ht="14.25" customHeight="1" s="95">
      <c r="E58" s="99" t="n"/>
      <c r="F58" s="99" t="n"/>
      <c r="G58" s="36" t="n"/>
      <c r="H58" s="36" t="n"/>
      <c r="I58" s="100" t="n"/>
      <c r="J58" s="25" t="inlineStr">
        <is>
          <t>硬件工程师-lay out</t>
        </is>
      </c>
      <c r="K58" s="21" t="inlineStr">
        <is>
          <t>@童景顺(80004217)(童景顺)</t>
        </is>
      </c>
      <c r="L58" s="23" t="n"/>
      <c r="M58" s="23" t="n"/>
      <c r="N58" s="30" t="n">
        <v>7</v>
      </c>
      <c r="O58" s="7">
        <f>'任务计划表'!K59</f>
        <v/>
      </c>
      <c r="P58" s="15">
        <f>IF(IF('任务计划表'!L59="/",'人员资源情况'!$A$2,L59)&gt;M59,M59,(IF('任务计划表'!L59="/",'人员资源情况'!$A$2,L59)))</f>
        <v/>
      </c>
      <c r="Q58" s="15">
        <f>IF(M59="/",'人员资源情况'!$B$2,'任务计划表'!M59)</f>
        <v/>
      </c>
      <c r="R58" s="13">
        <f>'任务计划表'!N59</f>
        <v/>
      </c>
      <c r="S58" s="10">
        <f>IF(O59='人员资源情况'!C$2,1,0)</f>
        <v/>
      </c>
      <c r="T58" s="10">
        <f>IF(P59&gt;='人员资源情况'!A$2,1,0)</f>
        <v/>
      </c>
      <c r="U58" s="10" t="inlineStr"/>
      <c r="V58" s="12">
        <f>IF(T59*U59,Q59-P59,IF(T59&gt;U59,'人员资源情况'!B$2-P59,IF(T59&lt;U59,'任务计划表'!Q59-'人员资源情况'!A$2,0)))*R59*S59</f>
        <v/>
      </c>
      <c r="W58" s="13">
        <f>IF(V59&lt;0,0,V59)</f>
        <v/>
      </c>
    </row>
    <row r="59" ht="14.25" customHeight="1" s="95">
      <c r="E59" s="99" t="n"/>
      <c r="F59" s="99" t="n"/>
      <c r="G59" s="36" t="n"/>
      <c r="H59" s="36" t="n"/>
      <c r="I59" s="37" t="n"/>
      <c r="J59" s="39" t="inlineStr">
        <is>
          <t>硬件工程师-天线破独测试（LoRa+LoRaWAN）</t>
        </is>
      </c>
      <c r="K59" s="21" t="inlineStr">
        <is>
          <t xml:space="preserve"> @姚金星(80019160)</t>
        </is>
      </c>
      <c r="L59" s="23" t="n"/>
      <c r="M59" s="23" t="n"/>
      <c r="N59" s="30" t="n">
        <v>7</v>
      </c>
      <c r="O59" s="7">
        <f>'任务计划表'!K60</f>
        <v/>
      </c>
      <c r="P59" s="15">
        <f>IF(IF('任务计划表'!L60="/",'人员资源情况'!$A$2,L60)&gt;M60,M60,(IF('任务计划表'!L60="/",'人员资源情况'!$A$2,L60)))</f>
        <v/>
      </c>
      <c r="Q59" s="15">
        <f>IF(M60="/",'人员资源情况'!$B$2,'任务计划表'!M60)</f>
        <v/>
      </c>
      <c r="R59" s="13">
        <f>'任务计划表'!N60</f>
        <v/>
      </c>
      <c r="S59" s="10">
        <f>IF(O60='人员资源情况'!C$2,1,0)</f>
        <v/>
      </c>
      <c r="T59" s="10">
        <f>IF(P60&gt;='人员资源情况'!A$2,1,0)</f>
        <v/>
      </c>
      <c r="U59" s="10" t="inlineStr"/>
      <c r="V59" s="12">
        <f>IF(T60*U60,Q60-P60,IF(T60&gt;U60,'人员资源情况'!B$2-P60,IF(T60&lt;U60,'任务计划表'!Q60-'人员资源情况'!A$2,0)))*R60*S60</f>
        <v/>
      </c>
      <c r="W59" s="13">
        <f>IF(V60&lt;0,0,V60)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32" t="inlineStr">
        <is>
          <t xml:space="preserve"> @舒杰(80018942)</t>
        </is>
      </c>
      <c r="L60" s="23" t="n"/>
      <c r="M60" s="23" t="n"/>
      <c r="N60" s="30" t="n"/>
      <c r="O60" s="7">
        <f>'任务计划表'!K61</f>
        <v/>
      </c>
      <c r="P60" s="15">
        <f>IF(IF('任务计划表'!L61="/",'人员资源情况'!$A$2,L61)&gt;M61,M61,(IF('任务计划表'!L61="/",'人员资源情况'!$A$2,L61)))</f>
        <v/>
      </c>
      <c r="Q60" s="15">
        <f>IF(M61="/",'人员资源情况'!$B$2,'任务计划表'!M61)</f>
        <v/>
      </c>
      <c r="R60" s="13">
        <f>'任务计划表'!N61</f>
        <v/>
      </c>
      <c r="S60" s="10">
        <f>IF(O61='人员资源情况'!C$2,1,0)</f>
        <v/>
      </c>
      <c r="T60" s="10">
        <f>IF(P61&gt;='人员资源情况'!A$2,1,0)</f>
        <v/>
      </c>
      <c r="U60" s="10" t="inlineStr"/>
      <c r="V60" s="12">
        <f>IF(T61*U61,Q61-P61,IF(T61&gt;U61,'人员资源情况'!B$2-P61,IF(T61&lt;U61,'任务计划表'!Q61-'人员资源情况'!A$2,0)))*R61*S61</f>
        <v/>
      </c>
      <c r="W60" s="13">
        <f>IF(V61&lt;0,0,V61)</f>
        <v/>
      </c>
    </row>
    <row r="61" ht="14.25" customHeight="1" s="95">
      <c r="E61" s="100" t="n"/>
      <c r="F61" s="100" t="n"/>
      <c r="G61" s="36" t="n"/>
      <c r="H61" s="36" t="n"/>
      <c r="I61" s="37" t="inlineStr">
        <is>
          <t>GCP-BETA测试跟踪</t>
        </is>
      </c>
      <c r="J61" s="23" t="inlineStr">
        <is>
          <t>项目经理</t>
        </is>
      </c>
      <c r="K61" s="21" t="inlineStr">
        <is>
          <t xml:space="preserve"> @项家祺(80004213)(项家祺)</t>
        </is>
      </c>
      <c r="L61" s="23" t="n">
        <v>46264</v>
      </c>
      <c r="M61" s="23" t="n">
        <v>46303</v>
      </c>
      <c r="N61" s="30" t="n">
        <v>0.5</v>
      </c>
      <c r="O61" s="7">
        <f>'任务计划表'!K62</f>
        <v/>
      </c>
      <c r="P61" s="15">
        <f>IF(IF('任务计划表'!L62="/",'人员资源情况'!$A$2,L62)&gt;M62,M62,(IF('任务计划表'!L62="/",'人员资源情况'!$A$2,L62)))</f>
        <v/>
      </c>
      <c r="Q61" s="15">
        <f>IF(M62="/",'人员资源情况'!$B$2,'任务计划表'!M62)</f>
        <v/>
      </c>
      <c r="R61" s="13">
        <f>'任务计划表'!N62</f>
        <v/>
      </c>
      <c r="S61" s="10">
        <f>IF(O62='人员资源情况'!C$2,1,0)</f>
        <v/>
      </c>
      <c r="T61" s="10">
        <f>IF(P62&gt;='人员资源情况'!A$2,1,0)</f>
        <v/>
      </c>
      <c r="U61" s="10" t="inlineStr"/>
      <c r="V61" s="12">
        <f>IF(T62*U62,Q62-P62,IF(T62&gt;U62,'人员资源情况'!B$2-P62,IF(T62&lt;U62,'任务计划表'!Q62-'人员资源情况'!A$2,0)))*R62*S62</f>
        <v/>
      </c>
      <c r="W61" s="13">
        <f>IF(V62&lt;0,0,V62)</f>
        <v/>
      </c>
    </row>
    <row r="62" ht="14.25" customHeight="1" s="95">
      <c r="E62" s="100" t="n"/>
      <c r="F62" s="100" t="n"/>
      <c r="G62" s="80" t="n"/>
      <c r="H62" s="80" t="n"/>
      <c r="I62" s="100" t="n"/>
      <c r="J62" s="31" t="inlineStr">
        <is>
          <t>DLMS-BETA版本功能调整</t>
        </is>
      </c>
      <c r="K62" s="21" t="inlineStr">
        <is>
          <t xml:space="preserve"> @袁琮欣(80015786)(袁琮欣)</t>
        </is>
      </c>
      <c r="L62" s="31" t="n">
        <v>46264</v>
      </c>
      <c r="M62" s="31" t="n">
        <v>46303</v>
      </c>
      <c r="N62" s="61" t="n">
        <v>0.5</v>
      </c>
      <c r="O62" s="7">
        <f>'任务计划表'!K63</f>
        <v/>
      </c>
      <c r="P62" s="15">
        <f>IF(IF('任务计划表'!L63="/",'人员资源情况'!$A$2,L63)&gt;M63,M63,(IF('任务计划表'!L63="/",'人员资源情况'!$A$2,L63)))</f>
        <v/>
      </c>
      <c r="Q62" s="15">
        <f>IF(M63="/",'人员资源情况'!$B$2,'任务计划表'!M63)</f>
        <v/>
      </c>
      <c r="R62" s="13">
        <f>'任务计划表'!N63</f>
        <v/>
      </c>
      <c r="S62" s="10">
        <f>IF(O63='人员资源情况'!C$2,1,0)</f>
        <v/>
      </c>
      <c r="T62" s="10">
        <f>IF(P63&gt;='人员资源情况'!A$2,1,0)</f>
        <v/>
      </c>
      <c r="U62" s="10" t="inlineStr"/>
      <c r="V62" s="12">
        <f>IF(T63*U63,Q63-P63,IF(T63&gt;U63,'人员资源情况'!B$2-P63,IF(T63&lt;U63,'任务计划表'!Q63-'人员资源情况'!A$2,0)))*R63*S63</f>
        <v/>
      </c>
      <c r="W62" s="13">
        <f>IF(V63&lt;0,0,V63)</f>
        <v/>
      </c>
    </row>
    <row r="63" ht="14.25" customHeight="1" s="95">
      <c r="E63" s="100" t="n"/>
      <c r="F63" s="100" t="n"/>
      <c r="G63" s="36" t="n"/>
      <c r="H63" s="36" t="n"/>
      <c r="I63" s="100" t="n"/>
      <c r="J63" s="23" t="inlineStr">
        <is>
          <t>硬件工程师</t>
        </is>
      </c>
      <c r="K63" s="21" t="inlineStr">
        <is>
          <t xml:space="preserve"> @姚金星(80019160)</t>
        </is>
      </c>
      <c r="L63" s="23" t="n">
        <v>46213</v>
      </c>
      <c r="M63" s="23" t="n">
        <v>46223</v>
      </c>
      <c r="N63" s="30" t="n">
        <v>8</v>
      </c>
      <c r="O63" s="7">
        <f>'任务计划表'!K64</f>
        <v/>
      </c>
      <c r="P63" s="15">
        <f>IF(IF('任务计划表'!L64="/",'人员资源情况'!$A$2,L64)&gt;M64,M64,(IF('任务计划表'!L64="/",'人员资源情况'!$A$2,L64)))</f>
        <v/>
      </c>
      <c r="Q63" s="15">
        <f>IF(M64="/",'人员资源情况'!$B$2,'任务计划表'!M64)</f>
        <v/>
      </c>
      <c r="R63" s="13">
        <f>'任务计划表'!N64</f>
        <v/>
      </c>
      <c r="S63" s="10">
        <f>IF(O64='人员资源情况'!C$2,1,0)</f>
        <v/>
      </c>
      <c r="T63" s="10">
        <f>IF(P64&gt;='人员资源情况'!A$2,1,0)</f>
        <v/>
      </c>
      <c r="U63" s="10" t="inlineStr"/>
      <c r="V63" s="12">
        <f>IF(T64*U64,Q64-P64,IF(T64&gt;U64,'人员资源情况'!B$2-P64,IF(T64&lt;U64,'任务计划表'!Q64-'人员资源情况'!A$2,0)))*R64*S64</f>
        <v/>
      </c>
      <c r="W63" s="13">
        <f>IF(V64&lt;0,0,V64)</f>
        <v/>
      </c>
    </row>
    <row r="64" ht="14.25" customHeight="1" s="95">
      <c r="E64" s="99" t="n"/>
      <c r="F64" s="100" t="n"/>
      <c r="G64" s="36" t="n"/>
      <c r="H64" s="36" t="n"/>
      <c r="I64" s="100" t="n"/>
      <c r="J64" s="23" t="inlineStr">
        <is>
          <t>硬件工程师</t>
        </is>
      </c>
      <c r="K64" s="32" t="inlineStr">
        <is>
          <t xml:space="preserve"> @舒杰(80018942)</t>
        </is>
      </c>
      <c r="L64" s="23" t="n">
        <v>46213</v>
      </c>
      <c r="M64" s="23" t="n">
        <v>46223</v>
      </c>
      <c r="N64" s="30" t="n">
        <v>8</v>
      </c>
      <c r="O64" s="7">
        <f>'任务计划表'!K65</f>
        <v/>
      </c>
      <c r="P64" s="15">
        <f>IF(IF('任务计划表'!L65="/",'人员资源情况'!$A$2,L65)&gt;M65,M65,(IF('任务计划表'!L65="/",'人员资源情况'!$A$2,L65)))</f>
        <v/>
      </c>
      <c r="Q64" s="15">
        <f>IF(M65="/",'人员资源情况'!$B$2,'任务计划表'!M65)</f>
        <v/>
      </c>
      <c r="R64" s="13">
        <f>'任务计划表'!N65</f>
        <v/>
      </c>
      <c r="S64" s="10">
        <f>IF(O65='人员资源情况'!C$2,1,0)</f>
        <v/>
      </c>
      <c r="T64" s="10">
        <f>IF(P65&gt;='人员资源情况'!A$2,1,0)</f>
        <v/>
      </c>
      <c r="U64" s="10" t="inlineStr"/>
      <c r="V64" s="12">
        <f>IF(T65*U65,Q65-P65,IF(T65&gt;U65,'人员资源情况'!B$2-P65,IF(T65&lt;U65,'任务计划表'!Q65-'人员资源情况'!A$2,0)))*R65*S65</f>
        <v/>
      </c>
      <c r="W64" s="13">
        <f>IF(V65&lt;0,0,V65)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固件工程师</t>
        </is>
      </c>
      <c r="K65" s="21" t="inlineStr">
        <is>
          <t xml:space="preserve"> @魏殷浩(80019157)</t>
        </is>
      </c>
      <c r="L65" s="23" t="n">
        <v>46213</v>
      </c>
      <c r="M65" s="23" t="n">
        <v>46223</v>
      </c>
      <c r="N65" s="30" t="n">
        <v>8</v>
      </c>
      <c r="O65" s="7">
        <f>'任务计划表'!K66</f>
        <v/>
      </c>
      <c r="P65" s="15">
        <f>IF(IF('任务计划表'!L66="/",'人员资源情况'!$A$2,L66)&gt;M66,M66,(IF('任务计划表'!L66="/",'人员资源情况'!$A$2,L66)))</f>
        <v/>
      </c>
      <c r="Q65" s="15">
        <f>IF(M66="/",'人员资源情况'!$B$2,'任务计划表'!M66)</f>
        <v/>
      </c>
      <c r="R65" s="13">
        <f>'任务计划表'!N66</f>
        <v/>
      </c>
      <c r="S65" s="10">
        <f>IF(O66='人员资源情况'!C$2,1,0)</f>
        <v/>
      </c>
      <c r="T65" s="10">
        <f>IF(P66&gt;='人员资源情况'!A$2,1,0)</f>
        <v/>
      </c>
      <c r="U65" s="10" t="inlineStr"/>
      <c r="V65" s="12">
        <f>IF(T66*U66,Q66-P66,IF(T66&gt;U66,'人员资源情况'!B$2-P66,IF(T66&lt;U66,'任务计划表'!Q66-'人员资源情况'!A$2,0)))*R66*S66</f>
        <v/>
      </c>
      <c r="W65" s="13">
        <f>IF(V66&lt;0,0,V66)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@张国庆(80019159)</t>
        </is>
      </c>
      <c r="L66" s="36" t="n">
        <v>46213</v>
      </c>
      <c r="M66" s="23" t="n">
        <v>46223</v>
      </c>
      <c r="N66" s="30" t="n">
        <v>8</v>
      </c>
      <c r="O66" s="7">
        <f>'任务计划表'!K67</f>
        <v/>
      </c>
      <c r="P66" s="15">
        <f>IF(IF('任务计划表'!L67="/",'人员资源情况'!$A$2,L67)&gt;M67,M67,(IF('任务计划表'!L67="/",'人员资源情况'!$A$2,L67)))</f>
        <v/>
      </c>
      <c r="Q66" s="15">
        <f>IF(M67="/",'人员资源情况'!$B$2,'任务计划表'!M67)</f>
        <v/>
      </c>
      <c r="R66" s="13">
        <f>'任务计划表'!N67</f>
        <v/>
      </c>
      <c r="S66" s="10">
        <f>IF(O67='人员资源情况'!C$2,1,0)</f>
        <v/>
      </c>
      <c r="T66" s="10">
        <f>IF(P67&gt;='人员资源情况'!A$2,1,0)</f>
        <v/>
      </c>
      <c r="U66" s="10" t="inlineStr"/>
      <c r="V66" s="12">
        <f>IF(T67*U67,Q67-P67,IF(T67&gt;U67,'人员资源情况'!B$2-P67,IF(T67&lt;U67,'任务计划表'!Q67-'人员资源情况'!A$2,0)))*R67*S67</f>
        <v/>
      </c>
      <c r="W66" s="13">
        <f>IF(V67&lt;0,0,V67)</f>
        <v/>
      </c>
    </row>
    <row r="67" ht="14.25" customHeight="1" s="95">
      <c r="E67" s="99" t="n"/>
      <c r="F67" s="100" t="n"/>
      <c r="G67" s="40" t="n"/>
      <c r="H67" s="36" t="n"/>
      <c r="I67" s="100" t="n"/>
      <c r="J67" s="23" t="inlineStr">
        <is>
          <t>硬件工程师-Bom、产品ID维护</t>
        </is>
      </c>
      <c r="K67" s="21" t="inlineStr">
        <is>
          <t>@童景顺(80004217)(童景顺)</t>
        </is>
      </c>
      <c r="L67" s="36" t="inlineStr">
        <is>
          <t>/</t>
        </is>
      </c>
      <c r="M67" s="36" t="inlineStr">
        <is>
          <t>/</t>
        </is>
      </c>
      <c r="N67" s="37" t="n">
        <v>1</v>
      </c>
      <c r="O67" s="7">
        <f>'任务计划表'!K68</f>
        <v/>
      </c>
      <c r="P67" s="15">
        <f>IF(IF('任务计划表'!L68="/",'人员资源情况'!$A$2,L68)&gt;M68,M68,(IF('任务计划表'!L68="/",'人员资源情况'!$A$2,L68)))</f>
        <v/>
      </c>
      <c r="Q67" s="15">
        <f>IF(M68="/",'人员资源情况'!$B$2,'任务计划表'!M68)</f>
        <v/>
      </c>
      <c r="R67" s="13">
        <f>'任务计划表'!N68</f>
        <v/>
      </c>
      <c r="S67" s="10">
        <f>IF(O68='人员资源情况'!C$2,1,0)</f>
        <v/>
      </c>
      <c r="T67" s="10">
        <f>IF(P68&gt;='人员资源情况'!A$2,1,0)</f>
        <v/>
      </c>
      <c r="U67" s="10" t="inlineStr"/>
      <c r="V67" s="12">
        <f>IF(T68*U68,Q68-P68,IF(T68&gt;U68,'人员资源情况'!B$2-P68,IF(T68&lt;U68,'任务计划表'!Q68-'人员资源情况'!A$2,0)))*R68*S68</f>
        <v/>
      </c>
      <c r="W67" s="13">
        <f>IF(V68&lt;0,0,V68)</f>
        <v/>
      </c>
    </row>
    <row r="68" ht="14.25" customHeight="1" s="95">
      <c r="E68" s="99" t="n"/>
      <c r="F68" s="100" t="n"/>
      <c r="G68" s="41" t="n"/>
      <c r="H68" s="41" t="n"/>
      <c r="I68" s="99" t="n"/>
      <c r="J68" s="23" t="inlineStr">
        <is>
          <t>硬件工程师-Bom、产品ID规则学习</t>
        </is>
      </c>
      <c r="K68" s="21" t="inlineStr">
        <is>
          <t xml:space="preserve"> @姚金星(80019160)</t>
        </is>
      </c>
      <c r="L68" s="23" t="n">
        <v>46223</v>
      </c>
      <c r="M68" s="23" t="n">
        <v>46244</v>
      </c>
      <c r="N68" s="37" t="n">
        <v>2</v>
      </c>
      <c r="O68" s="7">
        <f>'任务计划表'!K69</f>
        <v/>
      </c>
      <c r="P68" s="15">
        <f>IF(IF('任务计划表'!L69="/",'人员资源情况'!$A$2,L69)&gt;M69,M69,(IF('任务计划表'!L69="/",'人员资源情况'!$A$2,L69)))</f>
        <v/>
      </c>
      <c r="Q68" s="15">
        <f>IF(M69="/",'人员资源情况'!$B$2,'任务计划表'!M69)</f>
        <v/>
      </c>
      <c r="R68" s="13">
        <f>'任务计划表'!N69</f>
        <v/>
      </c>
      <c r="S68" s="10">
        <f>IF(O69='人员资源情况'!C$2,1,0)</f>
        <v/>
      </c>
      <c r="T68" s="10">
        <f>IF(P69&gt;='人员资源情况'!A$2,1,0)</f>
        <v/>
      </c>
      <c r="U68" s="10" t="inlineStr"/>
      <c r="V68" s="12">
        <f>IF(T69*U69,Q69-P69,IF(T69&gt;U69,'人员资源情况'!B$2-P69,IF(T69&lt;U69,'任务计划表'!Q69-'人员资源情况'!A$2,0)))*R69*S69</f>
        <v/>
      </c>
      <c r="W68" s="13">
        <f>IF(V69&lt;0,0,V69)</f>
        <v/>
      </c>
    </row>
    <row r="69" ht="14.25" customHeight="1" s="95">
      <c r="E69" s="99" t="n"/>
      <c r="F69" s="99" t="n"/>
      <c r="G69" s="36" t="n"/>
      <c r="H69" s="36" t="n"/>
      <c r="I69" s="99" t="n"/>
      <c r="J69" s="23" t="inlineStr">
        <is>
          <t>硬件工程师-Bom、产品ID规则学习</t>
        </is>
      </c>
      <c r="K69" s="32" t="inlineStr">
        <is>
          <t xml:space="preserve"> @舒杰(80018942)</t>
        </is>
      </c>
      <c r="L69" s="23" t="n">
        <v>46223</v>
      </c>
      <c r="M69" s="23" t="n">
        <v>46244</v>
      </c>
      <c r="N69" s="37" t="n">
        <v>2</v>
      </c>
      <c r="O69" s="7">
        <f>'任务计划表'!K70</f>
        <v/>
      </c>
      <c r="P69" s="15">
        <f>IF(IF('任务计划表'!L70="/",'人员资源情况'!$A$2,L70)&gt;M70,M70,(IF('任务计划表'!L70="/",'人员资源情况'!$A$2,L70)))</f>
        <v/>
      </c>
      <c r="Q69" s="15">
        <f>IF(M70="/",'人员资源情况'!$B$2,'任务计划表'!M70)</f>
        <v/>
      </c>
      <c r="R69" s="13">
        <f>'任务计划表'!N70</f>
        <v/>
      </c>
      <c r="S69" s="10">
        <f>IF(O70='人员资源情况'!C$2,1,0)</f>
        <v/>
      </c>
      <c r="T69" s="10">
        <f>IF(P70&gt;='人员资源情况'!A$2,1,0)</f>
        <v/>
      </c>
      <c r="U69" s="10" t="inlineStr"/>
      <c r="V69" s="12">
        <f>IF(T70*U70,Q70-P70,IF(T70&gt;U70,'人员资源情况'!B$2-P70,IF(T70&lt;U70,'任务计划表'!Q70-'人员资源情况'!A$2,0)))*R70*S70</f>
        <v/>
      </c>
      <c r="W69" s="13">
        <f>IF(V70&lt;0,0,V70)</f>
        <v/>
      </c>
    </row>
    <row r="70" ht="14.25" customHeight="1" s="95">
      <c r="E70" s="99" t="n"/>
      <c r="F70" s="99" t="n"/>
      <c r="G70" s="80" t="n"/>
      <c r="H70" s="80" t="n"/>
      <c r="I70" s="99" t="n"/>
      <c r="J70" s="80" t="inlineStr">
        <is>
          <t>HFP-代码架构学习</t>
        </is>
      </c>
      <c r="K70" s="21" t="inlineStr">
        <is>
          <t xml:space="preserve"> @魏殷浩(80019157)</t>
        </is>
      </c>
      <c r="L70" s="23" t="n">
        <v>46223</v>
      </c>
      <c r="M70" s="31" t="n">
        <v>46244</v>
      </c>
      <c r="N70" s="37" t="n">
        <v>1</v>
      </c>
      <c r="O70" s="7">
        <f>'任务计划表'!K71</f>
        <v/>
      </c>
      <c r="P70" s="15">
        <f>IF(IF('任务计划表'!L71="/",'人员资源情况'!$A$2,L71)&gt;M71,M71,(IF('任务计划表'!L71="/",'人员资源情况'!$A$2,L71)))</f>
        <v/>
      </c>
      <c r="Q70" s="15">
        <f>IF(M71="/",'人员资源情况'!$B$2,'任务计划表'!M71)</f>
        <v/>
      </c>
      <c r="R70" s="13">
        <f>'任务计划表'!N71</f>
        <v/>
      </c>
      <c r="S70" s="10">
        <f>IF(O71='人员资源情况'!C$2,1,0)</f>
        <v/>
      </c>
      <c r="T70" s="10">
        <f>IF(P71&gt;='人员资源情况'!A$2,1,0)</f>
        <v/>
      </c>
      <c r="U70" s="10" t="inlineStr"/>
      <c r="V70" s="12">
        <f>IF(T71*U71,Q71-P71,IF(T71&gt;U71,'人员资源情况'!B$2-P71,IF(T71&lt;U71,'任务计划表'!Q71-'人员资源情况'!A$2,0)))*R71*S71</f>
        <v/>
      </c>
      <c r="W70" s="13">
        <f>IF(V71&lt;0,0,V71)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@张国庆(80019159)</t>
        </is>
      </c>
      <c r="L71" s="42" t="n">
        <v>46223</v>
      </c>
      <c r="M71" s="31" t="n">
        <v>46244</v>
      </c>
      <c r="N71" s="35" t="n">
        <v>1</v>
      </c>
      <c r="O71" s="7">
        <f>'任务计划表'!K72</f>
        <v/>
      </c>
      <c r="P71" s="15">
        <f>IF(IF('任务计划表'!L72="/",'人员资源情况'!$A$2,L72)&gt;M72,M72,(IF('任务计划表'!L72="/",'人员资源情况'!$A$2,L72)))</f>
        <v/>
      </c>
      <c r="Q71" s="15">
        <f>IF(M72="/",'人员资源情况'!$B$2,'任务计划表'!M72)</f>
        <v/>
      </c>
      <c r="R71" s="13">
        <f>'任务计划表'!N72</f>
        <v/>
      </c>
      <c r="S71" s="10">
        <f>IF(O72='人员资源情况'!C$2,1,0)</f>
        <v/>
      </c>
      <c r="T71" s="10">
        <f>IF(P72&gt;='人员资源情况'!A$2,1,0)</f>
        <v/>
      </c>
      <c r="U71" s="10" t="inlineStr"/>
      <c r="V71" s="12">
        <f>IF(T72*U72,Q72-P72,IF(T72&gt;U72,'人员资源情况'!B$2-P72,IF(T72&lt;U72,'任务计划表'!Q72-'人员资源情况'!A$2,0)))*R72*S72</f>
        <v/>
      </c>
      <c r="W71" s="13">
        <f>IF(V72&lt;0,0,V72)</f>
        <v/>
      </c>
    </row>
    <row r="72" ht="14.25" customHeight="1" s="95">
      <c r="E72" s="99" t="n"/>
      <c r="F72" s="100" t="n"/>
      <c r="G72" s="36" t="n"/>
      <c r="H72" s="36" t="n"/>
      <c r="I72" s="36" t="n"/>
      <c r="J72" s="36" t="n"/>
      <c r="K72" s="21" t="inlineStr">
        <is>
          <t xml:space="preserve"> @魏殷浩(80019157)</t>
        </is>
      </c>
      <c r="L72" s="23" t="n">
        <v>46235</v>
      </c>
      <c r="M72" s="31" t="n">
        <v>46265</v>
      </c>
      <c r="N72" s="37" t="n">
        <v>6</v>
      </c>
      <c r="O72" s="7">
        <f>'任务计划表'!K73</f>
        <v/>
      </c>
      <c r="P72" s="15">
        <f>IF(IF('任务计划表'!L73="/",'人员资源情况'!$A$2,L73)&gt;M73,M73,(IF('任务计划表'!L73="/",'人员资源情况'!$A$2,L73)))</f>
        <v/>
      </c>
      <c r="Q72" s="15">
        <f>IF(M73="/",'人员资源情况'!$B$2,'任务计划表'!M73)</f>
        <v/>
      </c>
      <c r="R72" s="13">
        <f>'任务计划表'!N73</f>
        <v/>
      </c>
      <c r="S72" s="10">
        <f>IF(O73='人员资源情况'!C$2,1,0)</f>
        <v/>
      </c>
      <c r="T72" s="10">
        <f>IF(P73&gt;='人员资源情况'!A$2,1,0)</f>
        <v/>
      </c>
      <c r="U72" s="10" t="inlineStr"/>
      <c r="V72" s="12">
        <f>IF(T73*U73,Q73-P73,IF(T73&gt;U73,'人员资源情况'!B$2-P73,IF(T73&lt;U73,'任务计划表'!Q73-'人员资源情况'!A$2,0)))*R73*S73</f>
        <v/>
      </c>
      <c r="W72" s="13">
        <f>IF(V73&lt;0,0,V73)</f>
        <v/>
      </c>
    </row>
    <row r="73" ht="14.25" customHeight="1" s="95">
      <c r="E73" s="99" t="n"/>
      <c r="F73" s="36" t="n"/>
      <c r="G73" s="36" t="n"/>
      <c r="H73" s="36" t="n"/>
      <c r="I73" s="36" t="n"/>
      <c r="J73" s="36" t="n"/>
      <c r="K73" s="36" t="n"/>
      <c r="L73" s="36" t="n"/>
      <c r="M73" s="23" t="n"/>
      <c r="N73" s="36" t="n"/>
      <c r="O73" s="7">
        <f>'任务计划表'!K74</f>
        <v/>
      </c>
      <c r="P73" s="15">
        <f>IF(IF('任务计划表'!L74="/",'人员资源情况'!$A$2,L74)&gt;M74,M74,(IF('任务计划表'!L74="/",'人员资源情况'!$A$2,L74)))</f>
        <v/>
      </c>
      <c r="Q73" s="15">
        <f>IF(M74="/",'人员资源情况'!$B$2,'任务计划表'!M74)</f>
        <v/>
      </c>
      <c r="R73" s="13">
        <f>'任务计划表'!N74</f>
        <v/>
      </c>
      <c r="S73" s="10">
        <f>IF(O74='人员资源情况'!C$2,1,0)</f>
        <v/>
      </c>
      <c r="T73" s="10">
        <f>IF(P74&gt;='人员资源情况'!A$2,1,0)</f>
        <v/>
      </c>
      <c r="U73" s="10">
        <f>IF(Q74&lt;='人员资源情况'!B$2,1,0)</f>
        <v/>
      </c>
      <c r="V73" s="12">
        <f>IF(T74*U74,Q74-P74,IF(T74&gt;U74,'人员资源情况'!B$2-P74,IF(T74&lt;U74,'任务计划表'!Q74-'人员资源情况'!A$2,0)))*R74*S74</f>
        <v/>
      </c>
      <c r="W73" s="13">
        <f>IF(V74&lt;0,0,V74)</f>
        <v/>
      </c>
    </row>
    <row r="74" ht="14.25" customHeight="1" s="95">
      <c r="E74" s="99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7">
        <f>'任务计划表'!K75</f>
        <v/>
      </c>
      <c r="P74" s="15">
        <f>IF(IF('任务计划表'!L75="/",'人员资源情况'!$A$2,L75)&gt;M75,M75,(IF('任务计划表'!L75="/",'人员资源情况'!$A$2,L75)))</f>
        <v/>
      </c>
      <c r="Q74" s="15">
        <f>IF(M75="/",'人员资源情况'!$B$2,'任务计划表'!M75)</f>
        <v/>
      </c>
      <c r="R74" s="13">
        <f>'任务计划表'!N75</f>
        <v/>
      </c>
      <c r="S74" s="10">
        <f>IF(O75='人员资源情况'!C$2,1,0)</f>
        <v/>
      </c>
      <c r="T74" s="10">
        <f>IF(P75&gt;='人员资源情况'!A$2,1,0)</f>
        <v/>
      </c>
      <c r="U74" s="10">
        <f>IF(Q75&lt;='人员资源情况'!B$2,1,0)</f>
        <v/>
      </c>
      <c r="V74" s="12">
        <f>IF(T75*U75,Q75-P75,IF(T75&gt;U75,'人员资源情况'!B$2-P75,IF(T75&lt;U75,'任务计划表'!Q75-'人员资源情况'!A$2,0)))*R75*S75</f>
        <v/>
      </c>
      <c r="W74" s="13">
        <f>IF(V75&lt;0,0,V75)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'任务计划表'!K76</f>
        <v/>
      </c>
      <c r="P75" s="15">
        <f>IF(IF('任务计划表'!L76="/",'人员资源情况'!$A$2,L76)&gt;M76,M76,(IF('任务计划表'!L76="/",'人员资源情况'!$A$2,L76)))</f>
        <v/>
      </c>
      <c r="Q75" s="15">
        <f>IF(M76="/",'人员资源情况'!$B$2,'任务计划表'!M76)</f>
        <v/>
      </c>
      <c r="R75" s="13">
        <f>'任务计划表'!N76</f>
        <v/>
      </c>
      <c r="S75" s="10">
        <f>IF(O76='人员资源情况'!C$2,1,0)</f>
        <v/>
      </c>
      <c r="T75" s="10">
        <f>IF(P76&gt;='人员资源情况'!A$2,1,0)</f>
        <v/>
      </c>
      <c r="U75" s="10">
        <f>IF(Q76&lt;='人员资源情况'!B$2,1,0)</f>
        <v/>
      </c>
      <c r="V75" s="12">
        <f>IF(T76*U76,Q76-P76,IF(T76&gt;U76,'人员资源情况'!B$2-P76,IF(T76&lt;U76,'任务计划表'!Q76-'人员资源情况'!A$2,0)))*R76*S76</f>
        <v/>
      </c>
      <c r="W75" s="13">
        <f>IF(V76&lt;0,0,V76)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'任务计划表'!K77</f>
        <v/>
      </c>
      <c r="P76" s="15">
        <f>IF(IF('任务计划表'!L77="/",'人员资源情况'!$A$2,L77)&gt;M77,M77,(IF('任务计划表'!L77="/",'人员资源情况'!$A$2,L77)))</f>
        <v/>
      </c>
      <c r="Q76" s="15">
        <f>IF(M77="/",'人员资源情况'!$B$2,'任务计划表'!M77)</f>
        <v/>
      </c>
      <c r="R76" s="13">
        <f>'任务计划表'!N77</f>
        <v/>
      </c>
      <c r="S76" s="10">
        <f>IF(O77='人员资源情况'!C$2,1,0)</f>
        <v/>
      </c>
      <c r="T76" s="10">
        <f>IF(P77&gt;='人员资源情况'!A$2,1,0)</f>
        <v/>
      </c>
      <c r="U76" s="10">
        <f>IF(Q77&lt;='人员资源情况'!B$2,1,0)</f>
        <v/>
      </c>
      <c r="V76" s="12">
        <f>IF(T77*U77,Q77-P77,IF(T77&gt;U77,'人员资源情况'!B$2-P77,IF(T77&lt;U77,'任务计划表'!Q77-'人员资源情况'!A$2,0)))*R77*S77</f>
        <v/>
      </c>
      <c r="W76" s="13">
        <f>IF(V77&lt;0,0,V77)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'任务计划表'!K78</f>
        <v/>
      </c>
      <c r="P77" s="15">
        <f>IF(IF('任务计划表'!L78="/",'人员资源情况'!$A$2,L78)&gt;M78,M78,(IF('任务计划表'!L78="/",'人员资源情况'!$A$2,L78)))</f>
        <v/>
      </c>
      <c r="Q77" s="15">
        <f>IF(M78="/",'人员资源情况'!$B$2,'任务计划表'!M78)</f>
        <v/>
      </c>
      <c r="R77" s="13">
        <f>'任务计划表'!N78</f>
        <v/>
      </c>
      <c r="S77" s="10">
        <f>IF(O78='人员资源情况'!C$2,1,0)</f>
        <v/>
      </c>
      <c r="T77" s="10">
        <f>IF(P78&gt;='人员资源情况'!A$2,1,0)</f>
        <v/>
      </c>
      <c r="U77" s="10">
        <f>IF(Q78&lt;='人员资源情况'!B$2,1,0)</f>
        <v/>
      </c>
      <c r="V77" s="12">
        <f>IF(T78*U78,Q78-P78,IF(T78&gt;U78,'人员资源情况'!B$2-P78,IF(T78&lt;U78,'任务计划表'!Q78-'人员资源情况'!A$2,0)))*R78*S78</f>
        <v/>
      </c>
      <c r="W77" s="13">
        <f>IF(V78&lt;0,0,V78)</f>
        <v/>
      </c>
    </row>
    <row r="78" ht="14.25" customHeight="1" s="95">
      <c r="F78" s="13" t="n"/>
      <c r="G78" s="13" t="n"/>
      <c r="H78" s="13" t="n"/>
      <c r="I78" s="13" t="n"/>
      <c r="J78" s="13" t="n"/>
      <c r="K78" s="88" t="n"/>
      <c r="L78" s="13" t="n"/>
      <c r="M78" s="13" t="n"/>
      <c r="N78" s="13" t="n"/>
      <c r="O78" s="7">
        <f>'任务计划表'!K79</f>
        <v/>
      </c>
      <c r="P78" s="15">
        <f>IF(IF('任务计划表'!L79="/",'人员资源情况'!$A$2,L79)&gt;M79,M79,(IF('任务计划表'!L79="/",'人员资源情况'!$A$2,L79)))</f>
        <v/>
      </c>
      <c r="Q78" s="15">
        <f>IF(M79="/",'人员资源情况'!$B$2,'任务计划表'!M79)</f>
        <v/>
      </c>
      <c r="R78" s="13">
        <f>'任务计划表'!N79</f>
        <v/>
      </c>
      <c r="S78" s="10">
        <f>IF(O79='人员资源情况'!C$2,1,0)</f>
        <v/>
      </c>
      <c r="T78" s="10">
        <f>IF(P79&gt;='人员资源情况'!A$2,1,0)</f>
        <v/>
      </c>
      <c r="U78" s="10">
        <f>IF(Q79&lt;='人员资源情况'!B$2,1,0)</f>
        <v/>
      </c>
      <c r="V78" s="12">
        <f>IF(T79*U79,Q79-P79,IF(T79&gt;U79,'人员资源情况'!B$2-P79,IF(T79&lt;U79,'任务计划表'!Q79-'人员资源情况'!A$2,0)))*R79*S79</f>
        <v/>
      </c>
      <c r="W78" s="13">
        <f>IF(V79&lt;0,0,V79)</f>
        <v/>
      </c>
    </row>
    <row r="79" ht="14.25" customHeight="1" s="95"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7">
        <f>'任务计划表'!K80</f>
        <v/>
      </c>
      <c r="P79" s="15">
        <f>IF(IF('任务计划表'!L80="/",'人员资源情况'!$A$2,L80)&gt;M80,M80,(IF('任务计划表'!L80="/",'人员资源情况'!$A$2,L80)))</f>
        <v/>
      </c>
      <c r="Q79" s="15">
        <f>IF(M80="/",'人员资源情况'!$B$2,'任务计划表'!M80)</f>
        <v/>
      </c>
      <c r="R79" s="13">
        <f>'任务计划表'!N80</f>
        <v/>
      </c>
      <c r="S79" s="10">
        <f>IF(O80='人员资源情况'!C$2,1,0)</f>
        <v/>
      </c>
      <c r="T79" s="10">
        <f>IF(P80&gt;='人员资源情况'!A$2,1,0)</f>
        <v/>
      </c>
      <c r="U79" s="10">
        <f>IF(Q80&lt;='人员资源情况'!B$2,1,0)</f>
        <v/>
      </c>
      <c r="V79" s="12">
        <f>IF(T80*U80,Q80-P80,IF(T80&gt;U80,'人员资源情况'!B$2-P80,IF(T80&lt;U80,'任务计划表'!Q80-'人员资源情况'!A$2,0)))*R80*S80</f>
        <v/>
      </c>
      <c r="W79" s="13">
        <f>IF(V80&lt;0,0,V80)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'任务计划表'!K81</f>
        <v/>
      </c>
      <c r="P80" s="15">
        <f>IF(IF('任务计划表'!L81="/",'人员资源情况'!$A$2,L81)&gt;M81,M81,(IF('任务计划表'!L81="/",'人员资源情况'!$A$2,L81)))</f>
        <v/>
      </c>
      <c r="Q80" s="15">
        <f>IF(M81="/",'人员资源情况'!$B$2,'任务计划表'!M81)</f>
        <v/>
      </c>
      <c r="R80" s="13">
        <f>'任务计划表'!N81</f>
        <v/>
      </c>
      <c r="S80" s="10">
        <f>IF(O81='人员资源情况'!C$2,1,0)</f>
        <v/>
      </c>
      <c r="T80" s="10">
        <f>IF(P81&gt;='人员资源情况'!A$2,1,0)</f>
        <v/>
      </c>
      <c r="U80" s="10">
        <f>IF(Q81&lt;='人员资源情况'!B$2,1,0)</f>
        <v/>
      </c>
      <c r="V80" s="12">
        <f>IF(T81*U81,Q81-P81,IF(T81&gt;U81,'人员资源情况'!B$2-P81,IF(T81&lt;U81,'任务计划表'!Q81-'人员资源情况'!A$2,0)))*R81*S81</f>
        <v/>
      </c>
      <c r="W80" s="13">
        <f>IF(V81&lt;0,0,V81)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'任务计划表'!K82</f>
        <v/>
      </c>
      <c r="P81" s="15">
        <f>IF(IF('任务计划表'!L82="/",'人员资源情况'!$A$2,L82)&gt;M82,M82,(IF('任务计划表'!L82="/",'人员资源情况'!$A$2,L82)))</f>
        <v/>
      </c>
      <c r="Q81" s="15">
        <f>IF(M82="/",'人员资源情况'!$B$2,'任务计划表'!M82)</f>
        <v/>
      </c>
      <c r="R81" s="13">
        <f>'任务计划表'!N82</f>
        <v/>
      </c>
      <c r="S81" s="10">
        <f>IF(O82='人员资源情况'!C$2,1,0)</f>
        <v/>
      </c>
      <c r="T81" s="10">
        <f>IF(P82&gt;='人员资源情况'!A$2,1,0)</f>
        <v/>
      </c>
      <c r="U81" s="10">
        <f>IF(Q82&lt;='人员资源情况'!B$2,1,0)</f>
        <v/>
      </c>
      <c r="V81" s="12">
        <f>IF(T82*U82,Q82-P82,IF(T82&gt;U82,'人员资源情况'!B$2-P82,IF(T82&lt;U82,'任务计划表'!Q82-'人员资源情况'!A$2,0)))*R82*S82</f>
        <v/>
      </c>
      <c r="W81" s="13">
        <f>IF(V82&lt;0,0,V82)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'任务计划表'!K83</f>
        <v/>
      </c>
      <c r="P82" s="15">
        <f>IF(IF('任务计划表'!L83="/",'人员资源情况'!$A$2,L83)&gt;M83,M83,(IF('任务计划表'!L83="/",'人员资源情况'!$A$2,L83)))</f>
        <v/>
      </c>
      <c r="Q82" s="15">
        <f>IF(M83="/",'人员资源情况'!$B$2,'任务计划表'!M83)</f>
        <v/>
      </c>
      <c r="R82" s="13">
        <f>'任务计划表'!N83</f>
        <v/>
      </c>
      <c r="S82" s="10">
        <f>IF(O83='人员资源情况'!C$2,1,0)</f>
        <v/>
      </c>
      <c r="T82" s="10">
        <f>IF(P83&gt;='人员资源情况'!A$2,1,0)</f>
        <v/>
      </c>
      <c r="U82" s="10">
        <f>IF(Q83&lt;='人员资源情况'!B$2,1,0)</f>
        <v/>
      </c>
      <c r="V82" s="12">
        <f>IF(T83*U83,Q83-P83,IF(T83&gt;U83,'人员资源情况'!B$2-P83,IF(T83&lt;U83,'任务计划表'!Q83-'人员资源情况'!A$2,0)))*R83*S83</f>
        <v/>
      </c>
      <c r="W82" s="13">
        <f>IF(V83&lt;0,0,V83)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'任务计划表'!K84</f>
        <v/>
      </c>
      <c r="P83" s="15">
        <f>IF(IF('任务计划表'!L84="/",'人员资源情况'!$A$2,L84)&gt;M84,M84,(IF('任务计划表'!L84="/",'人员资源情况'!$A$2,L84)))</f>
        <v/>
      </c>
      <c r="Q83" s="15">
        <f>IF(M84="/",'人员资源情况'!$B$2,'任务计划表'!M84)</f>
        <v/>
      </c>
      <c r="R83" s="13">
        <f>'任务计划表'!N84</f>
        <v/>
      </c>
      <c r="S83" s="10">
        <f>IF(O84='人员资源情况'!C$2,1,0)</f>
        <v/>
      </c>
      <c r="T83" s="10">
        <f>IF(P84&gt;='人员资源情况'!A$2,1,0)</f>
        <v/>
      </c>
      <c r="U83" s="10">
        <f>IF(Q84&lt;='人员资源情况'!B$2,1,0)</f>
        <v/>
      </c>
      <c r="V83" s="12">
        <f>IF(T84*U84,Q84-P84,IF(T84&gt;U84,'人员资源情况'!B$2-P84,IF(T84&lt;U84,'任务计划表'!Q84-'人员资源情况'!A$2,0)))*R84*S84</f>
        <v/>
      </c>
      <c r="W83" s="13">
        <f>IF(V84&lt;0,0,V84)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'任务计划表'!K85</f>
        <v/>
      </c>
      <c r="P84" s="15">
        <f>IF(IF('任务计划表'!L85="/",'人员资源情况'!$A$2,L85)&gt;M85,M85,(IF('任务计划表'!L85="/",'人员资源情况'!$A$2,L85)))</f>
        <v/>
      </c>
      <c r="Q84" s="15">
        <f>IF(M85="/",'人员资源情况'!$B$2,'任务计划表'!M85)</f>
        <v/>
      </c>
      <c r="R84" s="13">
        <f>'任务计划表'!N85</f>
        <v/>
      </c>
      <c r="S84" s="10">
        <f>IF(O85='人员资源情况'!C$2,1,0)</f>
        <v/>
      </c>
      <c r="T84" s="10">
        <f>IF(P85&gt;='人员资源情况'!A$2,1,0)</f>
        <v/>
      </c>
      <c r="U84" s="10">
        <f>IF(Q85&lt;='人员资源情况'!B$2,1,0)</f>
        <v/>
      </c>
      <c r="V84" s="12">
        <f>IF(T85*U85,Q85-P85,IF(T85&gt;U85,'人员资源情况'!B$2-P85,IF(T85&lt;U85,'任务计划表'!Q85-'人员资源情况'!A$2,0)))*R85*S85</f>
        <v/>
      </c>
      <c r="W84" s="13">
        <f>IF(V85&lt;0,0,V85)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'任务计划表'!K86</f>
        <v/>
      </c>
      <c r="P85" s="15">
        <f>IF(IF('任务计划表'!L86="/",'人员资源情况'!$A$2,L86)&gt;M86,M86,(IF('任务计划表'!L86="/",'人员资源情况'!$A$2,L86)))</f>
        <v/>
      </c>
      <c r="Q85" s="15">
        <f>IF(M86="/",'人员资源情况'!$B$2,'任务计划表'!M86)</f>
        <v/>
      </c>
      <c r="R85" s="13">
        <f>'任务计划表'!N86</f>
        <v/>
      </c>
      <c r="S85" s="10">
        <f>IF(O86='人员资源情况'!C$2,1,0)</f>
        <v/>
      </c>
      <c r="T85" s="10">
        <f>IF(P86&gt;='人员资源情况'!A$2,1,0)</f>
        <v/>
      </c>
      <c r="U85" s="10">
        <f>IF(Q86&lt;='人员资源情况'!B$2,1,0)</f>
        <v/>
      </c>
      <c r="V85" s="12">
        <f>IF(T86*U86,Q86-P86,IF(T86&gt;U86,'人员资源情况'!B$2-P86,IF(T86&lt;U86,'任务计划表'!Q86-'人员资源情况'!A$2,0)))*R86*S86</f>
        <v/>
      </c>
      <c r="W85" s="13">
        <f>IF(V86&lt;0,0,V86)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'任务计划表'!K87</f>
        <v/>
      </c>
      <c r="P86" s="15">
        <f>IF(IF('任务计划表'!L87="/",'人员资源情况'!$A$2,L87)&gt;M87,M87,(IF('任务计划表'!L87="/",'人员资源情况'!$A$2,L87)))</f>
        <v/>
      </c>
      <c r="Q86" s="15">
        <f>IF(M87="/",'人员资源情况'!$B$2,'任务计划表'!M87)</f>
        <v/>
      </c>
      <c r="R86" s="13">
        <f>'任务计划表'!N87</f>
        <v/>
      </c>
      <c r="S86" s="10">
        <f>IF(O87='人员资源情况'!C$2,1,0)</f>
        <v/>
      </c>
      <c r="T86" s="10">
        <f>IF(P87&gt;='人员资源情况'!A$2,1,0)</f>
        <v/>
      </c>
      <c r="U86" s="10">
        <f>IF(Q87&lt;='人员资源情况'!B$2,1,0)</f>
        <v/>
      </c>
      <c r="V86" s="12">
        <f>IF(T87*U87,Q87-P87,IF(T87&gt;U87,'人员资源情况'!B$2-P87,IF(T87&lt;U87,'任务计划表'!Q87-'人员资源情况'!A$2,0)))*R87*S87</f>
        <v/>
      </c>
      <c r="W86" s="13">
        <f>IF(V87&lt;0,0,V87)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'任务计划表'!K88</f>
        <v/>
      </c>
      <c r="P87" s="15">
        <f>IF(IF('任务计划表'!L88="/",'人员资源情况'!$A$2,L88)&gt;M88,M88,(IF('任务计划表'!L88="/",'人员资源情况'!$A$2,L88)))</f>
        <v/>
      </c>
      <c r="Q87" s="15">
        <f>IF(M88="/",'人员资源情况'!$B$2,'任务计划表'!M88)</f>
        <v/>
      </c>
      <c r="R87" s="13">
        <f>'任务计划表'!N88</f>
        <v/>
      </c>
      <c r="S87" s="10">
        <f>IF(O88='人员资源情况'!C$2,1,0)</f>
        <v/>
      </c>
      <c r="T87" s="10">
        <f>IF(P88&gt;='人员资源情况'!A$2,1,0)</f>
        <v/>
      </c>
      <c r="U87" s="10">
        <f>IF(Q88&lt;='人员资源情况'!B$2,1,0)</f>
        <v/>
      </c>
      <c r="V87" s="12">
        <f>IF(T88*U88,Q88-P88,IF(T88&gt;U88,'人员资源情况'!B$2-P88,IF(T88&lt;U88,'任务计划表'!Q88-'人员资源情况'!A$2,0)))*R88*S88</f>
        <v/>
      </c>
      <c r="W87" s="13">
        <f>IF(V88&lt;0,0,V88)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'任务计划表'!K89</f>
        <v/>
      </c>
      <c r="P88" s="15">
        <f>IF(IF('任务计划表'!L89="/",'人员资源情况'!$A$2,L89)&gt;M89,M89,(IF('任务计划表'!L89="/",'人员资源情况'!$A$2,L89)))</f>
        <v/>
      </c>
      <c r="Q88" s="15">
        <f>IF(M89="/",'人员资源情况'!$B$2,'任务计划表'!M89)</f>
        <v/>
      </c>
      <c r="R88" s="13">
        <f>'任务计划表'!N89</f>
        <v/>
      </c>
      <c r="S88" s="10">
        <f>IF(O89='人员资源情况'!C$2,1,0)</f>
        <v/>
      </c>
      <c r="T88" s="10">
        <f>IF(P89&gt;='人员资源情况'!A$2,1,0)</f>
        <v/>
      </c>
      <c r="U88" s="10">
        <f>IF(Q89&lt;='人员资源情况'!B$2,1,0)</f>
        <v/>
      </c>
      <c r="V88" s="12">
        <f>IF(T89*U89,Q89-P89,IF(T89&gt;U89,'人员资源情况'!B$2-P89,IF(T89&lt;U89,'任务计划表'!Q89-'人员资源情况'!A$2,0)))*R89*S89</f>
        <v/>
      </c>
      <c r="W88" s="13">
        <f>IF(V89&lt;0,0,V89)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'任务计划表'!K90</f>
        <v/>
      </c>
      <c r="P89" s="15">
        <f>IF(IF('任务计划表'!L90="/",'人员资源情况'!$A$2,L90)&gt;M90,M90,(IF('任务计划表'!L90="/",'人员资源情况'!$A$2,L90)))</f>
        <v/>
      </c>
      <c r="Q89" s="15">
        <f>IF(M90="/",'人员资源情况'!$B$2,'任务计划表'!M90)</f>
        <v/>
      </c>
      <c r="R89" s="13">
        <f>'任务计划表'!N90</f>
        <v/>
      </c>
      <c r="S89" s="10">
        <f>IF(O90='人员资源情况'!C$2,1,0)</f>
        <v/>
      </c>
      <c r="T89" s="10">
        <f>IF(P90&gt;='人员资源情况'!A$2,1,0)</f>
        <v/>
      </c>
      <c r="U89" s="10">
        <f>IF(Q90&lt;='人员资源情况'!B$2,1,0)</f>
        <v/>
      </c>
      <c r="V89" s="12">
        <f>IF(T90*U90,Q90-P90,IF(T90&gt;U90,'人员资源情况'!B$2-P90,IF(T90&lt;U90,'任务计划表'!Q90-'人员资源情况'!A$2,0)))*R90*S90</f>
        <v/>
      </c>
      <c r="W89" s="13">
        <f>IF(V90&lt;0,0,V90)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'任务计划表'!K91</f>
        <v/>
      </c>
      <c r="P90" s="15">
        <f>IF(IF('任务计划表'!L91="/",'人员资源情况'!$A$2,L91)&gt;M91,M91,(IF('任务计划表'!L91="/",'人员资源情况'!$A$2,L91)))</f>
        <v/>
      </c>
      <c r="Q90" s="15">
        <f>IF(M91="/",'人员资源情况'!$B$2,'任务计划表'!M91)</f>
        <v/>
      </c>
      <c r="R90" s="13">
        <f>'任务计划表'!N91</f>
        <v/>
      </c>
      <c r="S90" s="10">
        <f>IF(O91='人员资源情况'!C$2,1,0)</f>
        <v/>
      </c>
      <c r="T90" s="10">
        <f>IF(P91&gt;='人员资源情况'!A$2,1,0)</f>
        <v/>
      </c>
      <c r="U90" s="10">
        <f>IF(Q91&lt;='人员资源情况'!B$2,1,0)</f>
        <v/>
      </c>
      <c r="V90" s="12">
        <f>IF(T91*U91,Q91-P91,IF(T91&gt;U91,'人员资源情况'!B$2-P91,IF(T91&lt;U91,'任务计划表'!Q91-'人员资源情况'!A$2,0)))*R91*S91</f>
        <v/>
      </c>
      <c r="W90" s="13">
        <f>IF(V91&lt;0,0,V91)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'任务计划表'!K92</f>
        <v/>
      </c>
      <c r="P91" s="15">
        <f>IF(IF('任务计划表'!L92="/",'人员资源情况'!$A$2,L92)&gt;M92,M92,(IF('任务计划表'!L92="/",'人员资源情况'!$A$2,L92)))</f>
        <v/>
      </c>
      <c r="Q91" s="15">
        <f>IF(M92="/",'人员资源情况'!$B$2,'任务计划表'!M92)</f>
        <v/>
      </c>
      <c r="R91" s="13">
        <f>'任务计划表'!N92</f>
        <v/>
      </c>
      <c r="S91" s="10">
        <f>IF(O92='人员资源情况'!C$2,1,0)</f>
        <v/>
      </c>
      <c r="T91" s="10">
        <f>IF(P92&gt;='人员资源情况'!A$2,1,0)</f>
        <v/>
      </c>
      <c r="U91" s="10">
        <f>IF(Q92&lt;='人员资源情况'!B$2,1,0)</f>
        <v/>
      </c>
      <c r="V91" s="12">
        <f>IF(T92*U92,Q92-P92,IF(T92&gt;U92,'人员资源情况'!B$2-P92,IF(T92&lt;U92,'任务计划表'!Q92-'人员资源情况'!A$2,0)))*R92*S92</f>
        <v/>
      </c>
      <c r="W91" s="13">
        <f>IF(V92&lt;0,0,V92)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'任务计划表'!K93</f>
        <v/>
      </c>
      <c r="P92" s="15">
        <f>IF(IF('任务计划表'!L93="/",'人员资源情况'!$A$2,L93)&gt;M93,M93,(IF('任务计划表'!L93="/",'人员资源情况'!$A$2,L93)))</f>
        <v/>
      </c>
      <c r="Q92" s="15">
        <f>IF(M93="/",'人员资源情况'!$B$2,'任务计划表'!M93)</f>
        <v/>
      </c>
      <c r="R92" s="13">
        <f>'任务计划表'!N93</f>
        <v/>
      </c>
      <c r="S92" s="10">
        <f>IF(O93='人员资源情况'!C$2,1,0)</f>
        <v/>
      </c>
      <c r="T92" s="10">
        <f>IF(P93&gt;='人员资源情况'!A$2,1,0)</f>
        <v/>
      </c>
      <c r="U92" s="10">
        <f>IF(Q93&lt;='人员资源情况'!B$2,1,0)</f>
        <v/>
      </c>
      <c r="V92" s="12">
        <f>IF(T93*U93,Q93-P93,IF(T93&gt;U93,'人员资源情况'!B$2-P93,IF(T93&lt;U93,'任务计划表'!Q93-'人员资源情况'!A$2,0)))*R93*S93</f>
        <v/>
      </c>
      <c r="W92" s="13">
        <f>IF(V93&lt;0,0,V93)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'任务计划表'!K94</f>
        <v/>
      </c>
      <c r="P93" s="15">
        <f>IF(IF('任务计划表'!L94="/",'人员资源情况'!$A$2,L94)&gt;M94,M94,(IF('任务计划表'!L94="/",'人员资源情况'!$A$2,L94)))</f>
        <v/>
      </c>
      <c r="Q93" s="15">
        <f>IF(M94="/",'人员资源情况'!$B$2,'任务计划表'!M94)</f>
        <v/>
      </c>
      <c r="R93" s="13">
        <f>'任务计划表'!N94</f>
        <v/>
      </c>
      <c r="S93" s="10">
        <f>IF(O94='人员资源情况'!C$2,1,0)</f>
        <v/>
      </c>
      <c r="T93" s="10">
        <f>IF(P94&gt;='人员资源情况'!A$2,1,0)</f>
        <v/>
      </c>
      <c r="U93" s="10">
        <f>IF(Q94&lt;='人员资源情况'!B$2,1,0)</f>
        <v/>
      </c>
      <c r="V93" s="12">
        <f>IF(T94*U94,Q94-P94,IF(T94&gt;U94,'人员资源情况'!B$2-P94,IF(T94&lt;U94,'任务计划表'!Q94-'人员资源情况'!A$2,0)))*R94*S94</f>
        <v/>
      </c>
      <c r="W93" s="13">
        <f>IF(V94&lt;0,0,V94)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'任务计划表'!K95</f>
        <v/>
      </c>
      <c r="P94" s="15">
        <f>IF(IF('任务计划表'!L95="/",'人员资源情况'!$A$2,L95)&gt;M95,M95,(IF('任务计划表'!L95="/",'人员资源情况'!$A$2,L95)))</f>
        <v/>
      </c>
      <c r="Q94" s="15">
        <f>IF(M95="/",'人员资源情况'!$B$2,'任务计划表'!M95)</f>
        <v/>
      </c>
      <c r="R94" s="13">
        <f>'任务计划表'!N95</f>
        <v/>
      </c>
      <c r="S94" s="10">
        <f>IF(O95='人员资源情况'!C$2,1,0)</f>
        <v/>
      </c>
      <c r="T94" s="10">
        <f>IF(P95&gt;='人员资源情况'!A$2,1,0)</f>
        <v/>
      </c>
      <c r="U94" s="10">
        <f>IF(Q95&lt;='人员资源情况'!B$2,1,0)</f>
        <v/>
      </c>
      <c r="V94" s="12">
        <f>IF(T95*U95,Q95-P95,IF(T95&gt;U95,'人员资源情况'!B$2-P95,IF(T95&lt;U95,'任务计划表'!Q95-'人员资源情况'!A$2,0)))*R95*S95</f>
        <v/>
      </c>
      <c r="W94" s="13">
        <f>IF(V95&lt;0,0,V95)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S95" s="10" t="n"/>
      <c r="T95" s="15" t="n"/>
      <c r="U95" s="15" t="n"/>
      <c r="V95" s="16" t="n"/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56" t="n"/>
      <c r="J115" s="56" t="n"/>
      <c r="K115" s="56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13" t="n"/>
      <c r="J116" s="13" t="n"/>
      <c r="K116" s="13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57" t="n"/>
      <c r="G117" s="57" t="n"/>
      <c r="H117" s="57" t="n"/>
      <c r="I117" s="58" t="n"/>
      <c r="J117" s="58" t="n"/>
      <c r="K117" s="15" t="n"/>
      <c r="L117" s="43" t="n"/>
      <c r="M117" s="43" t="n"/>
      <c r="N117" s="44" t="n"/>
      <c r="O117" s="56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K118" s="13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5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H122" s="13" t="n"/>
      <c r="I122" s="13" t="n"/>
      <c r="J122" s="13" t="n"/>
      <c r="K122" s="13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5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5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3" t="n"/>
      <c r="N125" s="13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H126" s="13" t="n"/>
      <c r="I126" s="13" t="n"/>
      <c r="J126" s="13" t="n"/>
      <c r="K126" s="15" t="n"/>
      <c r="L126" s="43" t="n"/>
      <c r="M126" s="43" t="n"/>
      <c r="N126" s="15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3" t="n"/>
      <c r="L127" s="43" t="n"/>
      <c r="M127" s="43" t="n"/>
      <c r="N127" s="58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5" t="n"/>
      <c r="L128" s="43" t="n"/>
      <c r="M128" s="44" t="n"/>
      <c r="N128" s="44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56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46" t="n"/>
      <c r="K133" s="15" t="n"/>
      <c r="L133" s="43" t="n"/>
      <c r="M133" s="43" t="n"/>
      <c r="N133" s="15" t="n"/>
      <c r="O133" s="57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G134" s="56" t="n"/>
      <c r="H134" s="13" t="n"/>
      <c r="I134" s="13" t="n"/>
      <c r="J134" s="5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3" t="n"/>
      <c r="L135" s="43" t="n"/>
      <c r="M135" s="1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H136" s="13" t="n"/>
      <c r="I136" s="13" t="n"/>
      <c r="K136" s="15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3" t="n"/>
      <c r="L141" s="13" t="n"/>
      <c r="M141" s="13" t="n"/>
      <c r="N141" s="13" t="n"/>
      <c r="O141" s="13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5" t="n"/>
      <c r="L142" s="43" t="n"/>
      <c r="M142" s="13" t="n"/>
      <c r="N142" s="15" t="n"/>
      <c r="O142" s="57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5" t="n"/>
      <c r="I147" s="13" t="n"/>
      <c r="J147" s="56" t="n"/>
      <c r="K147" s="15" t="n"/>
      <c r="L147" s="43" t="n"/>
      <c r="M147" s="15" t="n"/>
      <c r="N147" s="15" t="n"/>
      <c r="O147" s="56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3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H149" s="13" t="n"/>
      <c r="I149" s="13" t="n"/>
      <c r="J149" s="56" t="n"/>
      <c r="K149" s="15" t="n"/>
      <c r="L149" s="43" t="n"/>
      <c r="M149" s="15" t="n"/>
      <c r="N149" s="15" t="n"/>
      <c r="O149" s="57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H151" s="13" t="n"/>
      <c r="I151" s="13" t="n"/>
      <c r="K151" s="15" t="n"/>
      <c r="L151" s="43" t="n"/>
      <c r="M151" s="15" t="n"/>
      <c r="N151" s="15" t="n"/>
      <c r="O151" s="57" t="n"/>
      <c r="P151" s="88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3" t="n"/>
      <c r="L152" s="13" t="n"/>
      <c r="M152" s="13" t="n"/>
      <c r="N152" s="13" t="n"/>
      <c r="O152" s="13" t="n"/>
      <c r="P152" s="13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U203" s="0" t="inlineStr"/>
    </row>
    <row r="204">
      <c r="U204" s="0" t="inlineStr"/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2026-07-20T14:46:33Z</dcterms:modified>
  <cp:lastModifiedBy>DingTalk</cp:lastModifiedBy>
</cp:coreProperties>
</file>