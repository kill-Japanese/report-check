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inlineStr">
        <is>
          <t>2026-08-03</t>
        </is>
      </c>
      <c r="M19" s="20" t="inlineStr">
        <is>
          <t>2026-08-12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s="0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/>
      <c r="Y27" s="0" t="inlineStr"/>
      <c r="Z27" s="0" t="inlineStr"/>
      <c r="AA27" s="0" t="inlineStr"/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A216" s="0" t="inlineStr">
        <is>
          <t>已归档</t>
        </is>
      </c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  <c r="X216" s="0" t="inlineStr"/>
      <c r="Y216" s="0" t="inlineStr"/>
      <c r="Z216" s="0" t="inlineStr"/>
      <c r="AA216" s="0" t="inlineStr"/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测试工程师</t>
        </is>
      </c>
      <c r="K222" s="0" t="inlineStr">
        <is>
          <t>@袁知正</t>
        </is>
      </c>
      <c r="L222" s="0" t="inlineStr">
        <is>
          <t>2026-08-17</t>
        </is>
      </c>
      <c r="M222" s="0" t="inlineStr">
        <is>
          <t>2026-08-20</t>
        </is>
      </c>
      <c r="N222" s="0" t="n">
        <v>8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@舒杰(80018942)</t>
        </is>
      </c>
      <c r="L223" s="0" t="inlineStr">
        <is>
          <t>2026-07-27</t>
        </is>
      </c>
      <c r="M223" s="0" t="inlineStr">
        <is>
          <t>2026-07-31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@舒杰(80018942)</t>
        </is>
      </c>
      <c r="L224" s="0" t="inlineStr">
        <is>
          <t>2026-07-27</t>
        </is>
      </c>
      <c r="M224" s="0" t="inlineStr">
        <is>
          <t>2026-07-31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</row>
    <row r="225">
      <c r="E225" s="0" t="inlineStr">
        <is>
          <t>欧洲</t>
        </is>
      </c>
      <c r="F225" s="0" t="inlineStr">
        <is>
          <t>乌拉圭样机</t>
        </is>
      </c>
      <c r="G225" s="0" t="inlineStr">
        <is>
          <t>1900-01-01</t>
        </is>
      </c>
      <c r="H225" s="0" t="inlineStr">
        <is>
          <t>2100-01-01</t>
        </is>
      </c>
      <c r="I225" s="0" t="inlineStr">
        <is>
          <t>TR3乌拉圭样机SE文档</t>
        </is>
      </c>
      <c r="J225" s="0" t="inlineStr">
        <is>
          <t>SE设计</t>
        </is>
      </c>
      <c r="K225" s="0" t="inlineStr">
        <is>
          <t>@答金雨(80016793)</t>
        </is>
      </c>
      <c r="L225" s="0" t="inlineStr">
        <is>
          <t>2026-08-03</t>
        </is>
      </c>
      <c r="M225" s="0" t="inlineStr">
        <is>
          <t>2026-08-07</t>
        </is>
      </c>
      <c r="N225" s="0" t="n">
        <v>6</v>
      </c>
      <c r="O225" s="0">
        <f>任务计划表!K225</f>
        <v/>
      </c>
      <c r="P225" s="0">
        <f>IF(IF(任务计划表!L225="/",人员资源情况!$A$2,L225)&gt;M225,M225,(IF(任务计划表!L225="/",人员资源情况!$A$2,L225)))</f>
        <v/>
      </c>
      <c r="Q225" s="0">
        <f>IF(M225="/",人员资源情况!$B$2,任务计划表!M225)</f>
        <v/>
      </c>
      <c r="R225" s="0">
        <f>任务计划表!N225</f>
        <v/>
      </c>
      <c r="S225" s="0">
        <f>IF(O225=人员资源情况!C$2,1,0)</f>
        <v/>
      </c>
      <c r="T225" s="0">
        <f>IF(P225&gt;=人员资源情况!A$2,1,0)</f>
        <v/>
      </c>
      <c r="U225" s="0">
        <f>IF(Q225&lt;=人员资源情况!B$2,1,0)</f>
        <v/>
      </c>
      <c r="V225" s="0">
        <f>IF(T225*U225,Q225-P225,IF(T225&gt;U225,人员资源情况!B$2-P225,IF(T225&lt;U225,任务计划表!Q225-人员资源情况!A$2,0)))*R225*S225</f>
        <v/>
      </c>
      <c r="W225" s="0">
        <f>IF(V225&lt;0,0,V225)</f>
        <v/>
      </c>
    </row>
    <row r="226">
      <c r="E226" s="0" t="inlineStr">
        <is>
          <t>欧洲</t>
        </is>
      </c>
      <c r="F226" s="0" t="inlineStr">
        <is>
          <t>乌拉圭样机</t>
        </is>
      </c>
      <c r="G226" s="0" t="inlineStr">
        <is>
          <t>1900-01-01</t>
        </is>
      </c>
      <c r="H226" s="0" t="inlineStr">
        <is>
          <t>2100-01-01</t>
        </is>
      </c>
      <c r="I226" s="0" t="inlineStr">
        <is>
          <t>TR3乌拉圭样机SE文档</t>
        </is>
      </c>
      <c r="J226" s="0" t="inlineStr">
        <is>
          <t>固件开发</t>
        </is>
      </c>
      <c r="K226" s="0" t="inlineStr">
        <is>
          <t>@答金雨(80016793)</t>
        </is>
      </c>
      <c r="L226" s="0" t="inlineStr">
        <is>
          <t>2026-08-10</t>
        </is>
      </c>
      <c r="M226" s="0" t="inlineStr">
        <is>
          <t>2026-08-14</t>
        </is>
      </c>
      <c r="N226" s="0" t="n">
        <v>4</v>
      </c>
      <c r="O226" s="0">
        <f>任务计划表!K226</f>
        <v/>
      </c>
      <c r="P226" s="0">
        <f>IF(IF(任务计划表!L226="/",人员资源情况!$A$2,L226)&gt;M226,M226,(IF(任务计划表!L226="/",人员资源情况!$A$2,L226)))</f>
        <v/>
      </c>
      <c r="Q226" s="0">
        <f>IF(M226="/",人员资源情况!$B$2,任务计划表!M226)</f>
        <v/>
      </c>
      <c r="R226" s="0">
        <f>任务计划表!N226</f>
        <v/>
      </c>
      <c r="S226" s="0">
        <f>IF(O226=人员资源情况!C$2,1,0)</f>
        <v/>
      </c>
      <c r="T226" s="0">
        <f>IF(P226&gt;=人员资源情况!A$2,1,0)</f>
        <v/>
      </c>
      <c r="U226" s="0">
        <f>IF(Q226&lt;=人员资源情况!B$2,1,0)</f>
        <v/>
      </c>
      <c r="V226" s="0">
        <f>IF(T226*U226,Q226-P226,IF(T226&gt;U226,人员资源情况!B$2-P226,IF(T226&lt;U226,任务计划表!Q226-人员资源情况!A$2,0)))*R226*S226</f>
        <v/>
      </c>
      <c r="W226" s="0">
        <f>IF(V226&lt;0,0,V226)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approved</t>
        </is>
      </c>
      <c r="J75" s="0" t="inlineStr"/>
      <c r="K75" s="0" t="inlineStr">
        <is>
          <t>xjq</t>
        </is>
      </c>
      <c r="L75" s="0" t="inlineStr">
        <is>
          <t>2026-08-03T01:05:35.603497</t>
        </is>
      </c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approved</t>
        </is>
      </c>
      <c r="J76" s="0" t="inlineStr"/>
      <c r="K76" s="0" t="inlineStr">
        <is>
          <t>xjq</t>
        </is>
      </c>
      <c r="L76" s="0" t="inlineStr">
        <is>
          <t>2026-08-03T01:05:07.702139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2026-08-03T01:20:47Z</dcterms:modified>
  <cp:lastModifiedBy>项家祺</cp:lastModifiedBy>
</cp:coreProperties>
</file>