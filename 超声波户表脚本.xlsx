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t="inlineStr">
        <is>
          <t>测试</t>
        </is>
      </c>
      <c r="F220" t="inlineStr">
        <is>
          <t>测试看板</t>
        </is>
      </c>
      <c r="G220" t="inlineStr">
        <is>
          <t>1900-01-01</t>
        </is>
      </c>
      <c r="H220" t="inlineStr">
        <is>
          <t>2100-01-01</t>
        </is>
      </c>
      <c r="I220" t="inlineStr">
        <is>
          <t>测试</t>
        </is>
      </c>
      <c r="J220" t="inlineStr">
        <is>
          <t>测试工程师</t>
        </is>
      </c>
      <c r="K220" t="inlineStr">
        <is>
          <t>@项家祺(80004213)(项家祺)</t>
        </is>
      </c>
      <c r="L220" t="inlineStr">
        <is>
          <t>2026-07-27</t>
        </is>
      </c>
      <c r="M220" t="inlineStr">
        <is>
          <t>2026-07-27</t>
        </is>
      </c>
      <c r="N220" t="n">
        <v>8</v>
      </c>
      <c r="O220">
        <f>任务计划表!K220</f>
        <v/>
      </c>
      <c r="P220">
        <f>IF(IF(任务计划表!L220="/",人员资源情况!$A$2,L220)&gt;M220,M220,(IF(任务计划表!L220="/",人员资源情况!$A$2,L220)))</f>
        <v/>
      </c>
      <c r="Q220">
        <f>IF(M220="/",人员资源情况!$B$2,任务计划表!M220)</f>
        <v/>
      </c>
      <c r="R220">
        <f>任务计划表!N220</f>
        <v/>
      </c>
      <c r="S220">
        <f>IF(O220=人员资源情况!C$2,1,0)</f>
        <v/>
      </c>
      <c r="T220">
        <f>IF(P220&gt;=人员资源情况!A$2,1,0)</f>
        <v/>
      </c>
      <c r="U220">
        <f>IF(Q220&lt;=人员资源情况!B$2,1,0)</f>
        <v/>
      </c>
      <c r="V220">
        <f>IF(T220*U220,Q220-P220,IF(T220&gt;U220,人员资源情况!B$2-P220,IF(T220&lt;U220,任务计划表!Q220-人员资源情况!A$2,0)))*R220*S220</f>
        <v/>
      </c>
      <c r="W22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2026-07-27T00:32:50Z</dcterms:modified>
  <cp:lastModifiedBy>项家祺</cp:lastModifiedBy>
</cp:coreProperties>
</file>