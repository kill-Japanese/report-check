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E92" t="inlineStr">
        <is>
          <t>测试部门</t>
        </is>
      </c>
      <c r="F92" t="inlineStr">
        <is>
          <t>测试导入项目</t>
        </is>
      </c>
      <c r="G92" t="inlineStr">
        <is>
          <t>2026-08-01</t>
        </is>
      </c>
      <c r="H92" t="inlineStr">
        <is>
          <t>2026-08-02</t>
        </is>
      </c>
      <c r="I92" t="inlineStr">
        <is>
          <t>TR-IMPORT-001</t>
        </is>
      </c>
      <c r="J92" t="inlineStr">
        <is>
          <t>需求分析</t>
        </is>
      </c>
      <c r="K92" t="inlineStr">
        <is>
          <t>测试人员A</t>
        </is>
      </c>
      <c r="L92" t="inlineStr">
        <is>
          <t>2026-08-01</t>
        </is>
      </c>
      <c r="M92" t="inlineStr">
        <is>
          <t>2026-08-02</t>
        </is>
      </c>
      <c r="N92" t="n">
        <v>0</v>
      </c>
      <c r="O92">
        <f>任务计划表!K92</f>
        <v/>
      </c>
      <c r="P92">
        <f>IF(IF(任务计划表!L92="/",人员资源情况!$A$2,L92)&gt;M92,M92,(IF(任务计划表!L92="/",人员资源情况!$A$2,L92)))</f>
        <v/>
      </c>
      <c r="Q92">
        <f>IF(M92="/",人员资源情况!$B$2,任务计划表!M92)</f>
        <v/>
      </c>
      <c r="R92">
        <f>任务计划表!N92</f>
        <v/>
      </c>
      <c r="S92">
        <f>IF(O92=人员资源情况!C$2,1,0)</f>
        <v/>
      </c>
      <c r="T92">
        <f>IF(P92&gt;=人员资源情况!A$2,1,0)</f>
        <v/>
      </c>
      <c r="U92">
        <f>IF(Q92&lt;=人员资源情况!B$2,1,0)</f>
        <v/>
      </c>
      <c r="V92">
        <f>IF(T92*U92,Q92-P92,IF(T92&gt;U92,人员资源情况!B$2-P92,IF(T92&lt;U92,任务计划表!Q92-人员资源情况!A$2,0)))*R92*S92</f>
        <v/>
      </c>
      <c r="W92">
        <f>IF(V92&lt;0,0,V92)</f>
        <v/>
      </c>
    </row>
    <row r="93">
      <c r="E93" t="inlineStr">
        <is>
          <t>测试部门</t>
        </is>
      </c>
      <c r="F93" t="inlineStr">
        <is>
          <t>测试导入项目</t>
        </is>
      </c>
      <c r="G93" t="inlineStr">
        <is>
          <t>2026-08-02</t>
        </is>
      </c>
      <c r="H93" t="inlineStr">
        <is>
          <t>2026-08-03</t>
        </is>
      </c>
      <c r="I93" t="inlineStr">
        <is>
          <t>TR-IMPORT-001</t>
        </is>
      </c>
      <c r="J93" t="inlineStr">
        <is>
          <t>需求评审</t>
        </is>
      </c>
      <c r="K93" t="inlineStr">
        <is>
          <t>测试人员A</t>
        </is>
      </c>
      <c r="L93" t="inlineStr">
        <is>
          <t>2026-08-02</t>
        </is>
      </c>
      <c r="M93" t="inlineStr">
        <is>
          <t>2026-08-03</t>
        </is>
      </c>
      <c r="N93" t="n">
        <v>0</v>
      </c>
      <c r="O93">
        <f>任务计划表!K93</f>
        <v/>
      </c>
      <c r="P93">
        <f>IF(IF(任务计划表!L93="/",人员资源情况!$A$2,L93)&gt;M93,M93,(IF(任务计划表!L93="/",人员资源情况!$A$2,L93)))</f>
        <v/>
      </c>
      <c r="Q93">
        <f>IF(M93="/",人员资源情况!$B$2,任务计划表!M93)</f>
        <v/>
      </c>
      <c r="R93">
        <f>任务计划表!N93</f>
        <v/>
      </c>
      <c r="S93">
        <f>IF(O93=人员资源情况!C$2,1,0)</f>
        <v/>
      </c>
      <c r="T93">
        <f>IF(P93&gt;=人员资源情况!A$2,1,0)</f>
        <v/>
      </c>
      <c r="U93">
        <f>IF(Q93&lt;=人员资源情况!B$2,1,0)</f>
        <v/>
      </c>
      <c r="V93">
        <f>IF(T93*U93,Q93-P93,IF(T93&gt;U93,人员资源情况!B$2-P93,IF(T93&lt;U93,任务计划表!Q93-人员资源情况!A$2,0)))*R93*S93</f>
        <v/>
      </c>
      <c r="W93">
        <f>IF(V93&lt;0,0,V93)</f>
        <v/>
      </c>
    </row>
    <row r="94">
      <c r="E94" t="inlineStr">
        <is>
          <t>测试部门</t>
        </is>
      </c>
      <c r="F94" t="inlineStr">
        <is>
          <t>测试导入项目</t>
        </is>
      </c>
      <c r="G94" t="inlineStr">
        <is>
          <t>2026-08-04</t>
        </is>
      </c>
      <c r="H94" t="inlineStr">
        <is>
          <t>2026-08-12</t>
        </is>
      </c>
      <c r="I94" t="inlineStr">
        <is>
          <t>TR-IMPORT-002</t>
        </is>
      </c>
      <c r="J94" t="inlineStr">
        <is>
          <t>固件编码评审</t>
        </is>
      </c>
      <c r="K94" t="inlineStr">
        <is>
          <t>测试人员B</t>
        </is>
      </c>
      <c r="L94" t="inlineStr">
        <is>
          <t>2026-08-04</t>
        </is>
      </c>
      <c r="M94" t="inlineStr">
        <is>
          <t>2026-08-12</t>
        </is>
      </c>
      <c r="N94" t="n">
        <v>5.7</v>
      </c>
      <c r="O94">
        <f>任务计划表!K94</f>
        <v/>
      </c>
      <c r="P94">
        <f>IF(IF(任务计划表!L94="/",人员资源情况!$A$2,L94)&gt;M94,M94,(IF(任务计划表!L94="/",人员资源情况!$A$2,L94)))</f>
        <v/>
      </c>
      <c r="Q94">
        <f>IF(M94="/",人员资源情况!$B$2,任务计划表!M94)</f>
        <v/>
      </c>
      <c r="R94">
        <f>任务计划表!N94</f>
        <v/>
      </c>
      <c r="S94">
        <f>IF(O94=人员资源情况!C$2,1,0)</f>
        <v/>
      </c>
      <c r="T94">
        <f>IF(P94&gt;=人员资源情况!A$2,1,0)</f>
        <v/>
      </c>
      <c r="U94">
        <f>IF(Q94&lt;=人员资源情况!B$2,1,0)</f>
        <v/>
      </c>
      <c r="V94">
        <f>IF(T94*U94,Q94-P94,IF(T94&gt;U94,人员资源情况!B$2-P94,IF(T94&lt;U94,任务计划表!Q94-人员资源情况!A$2,0)))*R94*S94</f>
        <v/>
      </c>
      <c r="W94">
        <f>IF(V94&lt;0,0,V94)</f>
        <v/>
      </c>
    </row>
    <row r="95">
      <c r="E95" t="inlineStr">
        <is>
          <t>测试部门</t>
        </is>
      </c>
      <c r="F95" t="inlineStr">
        <is>
          <t>测试导入项目</t>
        </is>
      </c>
      <c r="G95" t="inlineStr">
        <is>
          <t>2026-08-13</t>
        </is>
      </c>
      <c r="H95" t="inlineStr">
        <is>
          <t>2026-08-15</t>
        </is>
      </c>
      <c r="I95" t="inlineStr">
        <is>
          <t>TR-IMPORT-002</t>
        </is>
      </c>
      <c r="J95" t="inlineStr">
        <is>
          <t>测试用例</t>
        </is>
      </c>
      <c r="K95" t="inlineStr">
        <is>
          <t>测试人员C</t>
        </is>
      </c>
      <c r="L95" t="inlineStr">
        <is>
          <t>2026-08-13</t>
        </is>
      </c>
      <c r="M95" t="inlineStr">
        <is>
          <t>2026-08-15</t>
        </is>
      </c>
      <c r="N95" t="n">
        <v>12</v>
      </c>
      <c r="O95">
        <f>任务计划表!K95</f>
        <v/>
      </c>
      <c r="P95">
        <f>IF(IF(任务计划表!L95="/",人员资源情况!$A$2,L95)&gt;M95,M95,(IF(任务计划表!L95="/",人员资源情况!$A$2,L95)))</f>
        <v/>
      </c>
      <c r="Q95">
        <f>IF(M95="/",人员资源情况!$B$2,任务计划表!M95)</f>
        <v/>
      </c>
      <c r="R95">
        <f>任务计划表!N95</f>
        <v/>
      </c>
      <c r="S95">
        <f>IF(O95=人员资源情况!C$2,1,0)</f>
        <v/>
      </c>
      <c r="T95">
        <f>IF(P95&gt;=人员资源情况!A$2,1,0)</f>
        <v/>
      </c>
      <c r="U95">
        <f>IF(Q95&lt;=人员资源情况!B$2,1,0)</f>
        <v/>
      </c>
      <c r="V95">
        <f>IF(T95*U95,Q95-P95,IF(T95&gt;U95,人员资源情况!B$2-P95,IF(T95&lt;U95,任务计划表!Q95-人员资源情况!A$2,0)))*R95*S95</f>
        <v/>
      </c>
      <c r="W95">
        <f>IF(V95&lt;0,0,V95)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2026-07-22T07:20:31Z</dcterms:modified>
  <cp:lastModifiedBy>项家祺</cp:lastModifiedBy>
</cp:coreProperties>
</file>