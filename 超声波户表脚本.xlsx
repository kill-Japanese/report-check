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133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E120" t="inlineStr">
        <is>
          <t>亚洲</t>
        </is>
      </c>
      <c r="F120" t="inlineStr">
        <is>
          <t>巴勒斯坦超声户表二开</t>
        </is>
      </c>
      <c r="G120" t="inlineStr">
        <is>
          <t>2026-07-09</t>
        </is>
      </c>
      <c r="H120" t="inlineStr">
        <is>
          <t>2026-08-15</t>
        </is>
      </c>
      <c r="I120" t="inlineStr">
        <is>
          <t>TR1</t>
        </is>
      </c>
      <c r="J120" t="inlineStr">
        <is>
          <t>需求导入</t>
        </is>
      </c>
      <c r="K120" t="inlineStr">
        <is>
          <t>@毛文豪(80018842)</t>
        </is>
      </c>
      <c r="L120" t="inlineStr">
        <is>
          <t>2026-07-09</t>
        </is>
      </c>
      <c r="M120" t="inlineStr">
        <is>
          <t>2026-07-10</t>
        </is>
      </c>
      <c r="N120" t="n">
        <v>0</v>
      </c>
      <c r="O120">
        <f>任务计划表!K120</f>
        <v/>
      </c>
      <c r="P120">
        <f>IF(IF(任务计划表!L120="/",人员资源情况!$A$2,L120)&gt;M120,M120,(IF(任务计划表!L120="/",人员资源情况!$A$2,L120)))</f>
        <v/>
      </c>
      <c r="Q120">
        <f>IF(M120="/",人员资源情况!$B$2,任务计划表!M120)</f>
        <v/>
      </c>
      <c r="R120">
        <f>任务计划表!N120</f>
        <v/>
      </c>
      <c r="S120">
        <f>IF(O120=人员资源情况!C$2,1,0)</f>
        <v/>
      </c>
      <c r="T120">
        <f>IF(P120&gt;=人员资源情况!A$2,1,0)</f>
        <v/>
      </c>
      <c r="U120">
        <f>IF(Q120&lt;=人员资源情况!B$2,1,0)</f>
        <v/>
      </c>
      <c r="V120">
        <f>IF(T120*U120,Q120-P120,IF(T120&gt;U120,人员资源情况!B$2-P120,IF(T120&lt;U120,任务计划表!Q120-人员资源情况!A$2,0)))*R120*S120</f>
        <v/>
      </c>
      <c r="W120">
        <f>IF(V120&lt;0,0,V120)</f>
        <v/>
      </c>
    </row>
    <row r="121">
      <c r="E121" t="inlineStr">
        <is>
          <t>亚洲</t>
        </is>
      </c>
      <c r="F121" t="inlineStr">
        <is>
          <t>巴勒斯坦超声户表二开</t>
        </is>
      </c>
      <c r="G121" t="inlineStr">
        <is>
          <t>2026-07-09</t>
        </is>
      </c>
      <c r="H121" t="inlineStr">
        <is>
          <t>2026-08-15</t>
        </is>
      </c>
      <c r="I121" t="inlineStr">
        <is>
          <t>TR1</t>
        </is>
      </c>
      <c r="J121" t="inlineStr">
        <is>
          <t>需求评审</t>
        </is>
      </c>
      <c r="K121" t="inlineStr">
        <is>
          <t>@毛文豪(80018842)</t>
        </is>
      </c>
      <c r="L121" t="inlineStr">
        <is>
          <t>2026-07-09</t>
        </is>
      </c>
      <c r="M121" t="inlineStr">
        <is>
          <t>2026-07-10</t>
        </is>
      </c>
      <c r="N121" t="n">
        <v>0</v>
      </c>
      <c r="O121">
        <f>任务计划表!K121</f>
        <v/>
      </c>
      <c r="P121">
        <f>IF(IF(任务计划表!L121="/",人员资源情况!$A$2,L121)&gt;M121,M121,(IF(任务计划表!L121="/",人员资源情况!$A$2,L121)))</f>
        <v/>
      </c>
      <c r="Q121">
        <f>IF(M121="/",人员资源情况!$B$2,任务计划表!M121)</f>
        <v/>
      </c>
      <c r="R121">
        <f>任务计划表!N121</f>
        <v/>
      </c>
      <c r="S121">
        <f>IF(O121=人员资源情况!C$2,1,0)</f>
        <v/>
      </c>
      <c r="T121">
        <f>IF(P121&gt;=人员资源情况!A$2,1,0)</f>
        <v/>
      </c>
      <c r="U121">
        <f>IF(Q121&lt;=人员资源情况!B$2,1,0)</f>
        <v/>
      </c>
      <c r="V121">
        <f>IF(T121*U121,Q121-P121,IF(T121&gt;U121,人员资源情况!B$2-P121,IF(T121&lt;U121,任务计划表!Q121-人员资源情况!A$2,0)))*R121*S121</f>
        <v/>
      </c>
      <c r="W121">
        <f>IF(V121&lt;0,0,V121)</f>
        <v/>
      </c>
    </row>
    <row r="122">
      <c r="E122" t="inlineStr">
        <is>
          <t>亚洲</t>
        </is>
      </c>
      <c r="F122" t="inlineStr">
        <is>
          <t>巴勒斯坦超声户表二开</t>
        </is>
      </c>
      <c r="G122" t="inlineStr">
        <is>
          <t>2026-07-09</t>
        </is>
      </c>
      <c r="H122" t="inlineStr">
        <is>
          <t>2026-08-15</t>
        </is>
      </c>
      <c r="I122" t="inlineStr">
        <is>
          <t>TR3</t>
        </is>
      </c>
      <c r="J122" t="inlineStr">
        <is>
          <t>巴勒斯坦二开SE文档评审</t>
        </is>
      </c>
      <c r="K122" t="inlineStr">
        <is>
          <t>@毛文豪(80018842)</t>
        </is>
      </c>
      <c r="L122" t="inlineStr">
        <is>
          <t>2026-07-21</t>
        </is>
      </c>
      <c r="M122" t="inlineStr">
        <is>
          <t>2026-07-23</t>
        </is>
      </c>
      <c r="N122" t="n">
        <v>8</v>
      </c>
      <c r="O122">
        <f>任务计划表!K122</f>
        <v/>
      </c>
      <c r="P122">
        <f>IF(IF(任务计划表!L122="/",人员资源情况!$A$2,L122)&gt;M122,M122,(IF(任务计划表!L122="/",人员资源情况!$A$2,L122)))</f>
        <v/>
      </c>
      <c r="Q122">
        <f>IF(M122="/",人员资源情况!$B$2,任务计划表!M122)</f>
        <v/>
      </c>
      <c r="R122">
        <f>任务计划表!N122</f>
        <v/>
      </c>
      <c r="S122">
        <f>IF(O122=人员资源情况!C$2,1,0)</f>
        <v/>
      </c>
      <c r="T122">
        <f>IF(P122&gt;=人员资源情况!A$2,1,0)</f>
        <v/>
      </c>
      <c r="U122">
        <f>IF(Q122&lt;=人员资源情况!B$2,1,0)</f>
        <v/>
      </c>
      <c r="V122">
        <f>IF(T122*U122,Q122-P122,IF(T122&gt;U122,人员资源情况!B$2-P122,IF(T122&lt;U122,任务计划表!Q122-人员资源情况!A$2,0)))*R122*S122</f>
        <v/>
      </c>
      <c r="W122">
        <f>IF(V122&lt;0,0,V122)</f>
        <v/>
      </c>
    </row>
    <row r="123">
      <c r="E123" t="inlineStr">
        <is>
          <t>亚洲</t>
        </is>
      </c>
      <c r="F123" t="inlineStr">
        <is>
          <t>巴勒斯坦超声户表二开</t>
        </is>
      </c>
      <c r="G123" t="inlineStr">
        <is>
          <t>2026-07-09</t>
        </is>
      </c>
      <c r="H123" t="inlineStr">
        <is>
          <t>2026-08-15</t>
        </is>
      </c>
      <c r="I123" t="inlineStr">
        <is>
          <t>TR4</t>
        </is>
      </c>
      <c r="J123" t="inlineStr">
        <is>
          <t>水表固件代码编写</t>
        </is>
      </c>
      <c r="K123" t="inlineStr">
        <is>
          <t>@毛文豪(80018842)</t>
        </is>
      </c>
      <c r="L123" t="inlineStr">
        <is>
          <t>2026-07-23</t>
        </is>
      </c>
      <c r="M123" t="inlineStr">
        <is>
          <t>2026-07-25</t>
        </is>
      </c>
      <c r="N123" t="n">
        <v>6</v>
      </c>
      <c r="O123">
        <f>任务计划表!K123</f>
        <v/>
      </c>
      <c r="P123">
        <f>IF(IF(任务计划表!L123="/",人员资源情况!$A$2,L123)&gt;M123,M123,(IF(任务计划表!L123="/",人员资源情况!$A$2,L123)))</f>
        <v/>
      </c>
      <c r="Q123">
        <f>IF(M123="/",人员资源情况!$B$2,任务计划表!M123)</f>
        <v/>
      </c>
      <c r="R123">
        <f>任务计划表!N123</f>
        <v/>
      </c>
      <c r="S123">
        <f>IF(O123=人员资源情况!C$2,1,0)</f>
        <v/>
      </c>
      <c r="T123">
        <f>IF(P123&gt;=人员资源情况!A$2,1,0)</f>
        <v/>
      </c>
      <c r="U123">
        <f>IF(Q123&lt;=人员资源情况!B$2,1,0)</f>
        <v/>
      </c>
      <c r="V123">
        <f>IF(T123*U123,Q123-P123,IF(T123&gt;U123,人员资源情况!B$2-P123,IF(T123&lt;U123,任务计划表!Q123-人员资源情况!A$2,0)))*R123*S123</f>
        <v/>
      </c>
      <c r="W123">
        <f>IF(V123&lt;0,0,V123)</f>
        <v/>
      </c>
    </row>
    <row r="124">
      <c r="E124" t="inlineStr">
        <is>
          <t>亚洲</t>
        </is>
      </c>
      <c r="F124" t="inlineStr">
        <is>
          <t>巴勒斯坦超声户表二开</t>
        </is>
      </c>
      <c r="G124" t="inlineStr">
        <is>
          <t>2026-07-09</t>
        </is>
      </c>
      <c r="H124" t="inlineStr">
        <is>
          <t>2026-08-15</t>
        </is>
      </c>
      <c r="I124" t="inlineStr">
        <is>
          <t>TR4</t>
        </is>
      </c>
      <c r="J124" t="inlineStr">
        <is>
          <t>水表固件自测</t>
        </is>
      </c>
      <c r="K124" t="inlineStr">
        <is>
          <t>@毛文豪(80018842)</t>
        </is>
      </c>
      <c r="L124" t="inlineStr">
        <is>
          <t>2026-07-27</t>
        </is>
      </c>
      <c r="M124" t="inlineStr">
        <is>
          <t>2026-07-29</t>
        </is>
      </c>
      <c r="N124" t="n">
        <v>6</v>
      </c>
      <c r="O124">
        <f>任务计划表!K124</f>
        <v/>
      </c>
      <c r="P124">
        <f>IF(IF(任务计划表!L124="/",人员资源情况!$A$2,L124)&gt;M124,M124,(IF(任务计划表!L124="/",人员资源情况!$A$2,L124)))</f>
        <v/>
      </c>
      <c r="Q124">
        <f>IF(M124="/",人员资源情况!$B$2,任务计划表!M124)</f>
        <v/>
      </c>
      <c r="R124">
        <f>任务计划表!N124</f>
        <v/>
      </c>
      <c r="S124">
        <f>IF(O124=人员资源情况!C$2,1,0)</f>
        <v/>
      </c>
      <c r="T124">
        <f>IF(P124&gt;=人员资源情况!A$2,1,0)</f>
        <v/>
      </c>
      <c r="U124">
        <f>IF(Q124&lt;=人员资源情况!B$2,1,0)</f>
        <v/>
      </c>
      <c r="V124">
        <f>IF(T124*U124,Q124-P124,IF(T124&gt;U124,人员资源情况!B$2-P124,IF(T124&lt;U124,任务计划表!Q124-人员资源情况!A$2,0)))*R124*S124</f>
        <v/>
      </c>
      <c r="W124">
        <f>IF(V124&lt;0,0,V124)</f>
        <v/>
      </c>
    </row>
    <row r="125">
      <c r="E125" t="inlineStr">
        <is>
          <t>亚洲</t>
        </is>
      </c>
      <c r="F125" t="inlineStr">
        <is>
          <t>巴勒斯坦超声户表二开</t>
        </is>
      </c>
      <c r="G125" t="inlineStr">
        <is>
          <t>2026-07-09</t>
        </is>
      </c>
      <c r="H125" t="inlineStr">
        <is>
          <t>2026-08-15</t>
        </is>
      </c>
      <c r="I125" t="inlineStr">
        <is>
          <t>TR4</t>
        </is>
      </c>
      <c r="J125" t="inlineStr">
        <is>
          <t>CIU固件代码编写</t>
        </is>
      </c>
      <c r="K125" t="inlineStr">
        <is>
          <t>@毛文豪(80018842)</t>
        </is>
      </c>
      <c r="L125" t="inlineStr">
        <is>
          <t>2026-07-29</t>
        </is>
      </c>
      <c r="M125" t="inlineStr">
        <is>
          <t>2026-07-30</t>
        </is>
      </c>
      <c r="N125" t="n">
        <v>6</v>
      </c>
      <c r="O125">
        <f>任务计划表!K125</f>
        <v/>
      </c>
      <c r="P125">
        <f>IF(IF(任务计划表!L125="/",人员资源情况!$A$2,L125)&gt;M125,M125,(IF(任务计划表!L125="/",人员资源情况!$A$2,L125)))</f>
        <v/>
      </c>
      <c r="Q125">
        <f>IF(M125="/",人员资源情况!$B$2,任务计划表!M125)</f>
        <v/>
      </c>
      <c r="R125">
        <f>任务计划表!N125</f>
        <v/>
      </c>
      <c r="S125">
        <f>IF(O125=人员资源情况!C$2,1,0)</f>
        <v/>
      </c>
      <c r="T125">
        <f>IF(P125&gt;=人员资源情况!A$2,1,0)</f>
        <v/>
      </c>
      <c r="U125">
        <f>IF(Q125&lt;=人员资源情况!B$2,1,0)</f>
        <v/>
      </c>
      <c r="V125">
        <f>IF(T125*U125,Q125-P125,IF(T125&gt;U125,人员资源情况!B$2-P125,IF(T125&lt;U125,任务计划表!Q125-人员资源情况!A$2,0)))*R125*S125</f>
        <v/>
      </c>
      <c r="W125">
        <f>IF(V125&lt;0,0,V125)</f>
        <v/>
      </c>
    </row>
    <row r="126">
      <c r="E126" t="inlineStr">
        <is>
          <t>亚洲</t>
        </is>
      </c>
      <c r="F126" t="inlineStr">
        <is>
          <t>巴勒斯坦超声户表二开</t>
        </is>
      </c>
      <c r="G126" t="inlineStr">
        <is>
          <t>2026-07-09</t>
        </is>
      </c>
      <c r="H126" t="inlineStr">
        <is>
          <t>2026-08-15</t>
        </is>
      </c>
      <c r="I126" t="inlineStr">
        <is>
          <t>TR4A</t>
        </is>
      </c>
      <c r="J126" t="inlineStr">
        <is>
          <t>样机制作</t>
        </is>
      </c>
      <c r="K126" t="inlineStr">
        <is>
          <t>@文春英</t>
        </is>
      </c>
      <c r="L126" t="inlineStr">
        <is>
          <t>2026-07-30</t>
        </is>
      </c>
      <c r="M126" t="inlineStr">
        <is>
          <t>2026-08-03</t>
        </is>
      </c>
      <c r="N126" t="n">
        <v>2</v>
      </c>
      <c r="O126">
        <f>任务计划表!K126</f>
        <v/>
      </c>
      <c r="P126">
        <f>IF(IF(任务计划表!L126="/",人员资源情况!$A$2,L126)&gt;M126,M126,(IF(任务计划表!L126="/",人员资源情况!$A$2,L126)))</f>
        <v/>
      </c>
      <c r="Q126">
        <f>IF(M126="/",人员资源情况!$B$2,任务计划表!M126)</f>
        <v/>
      </c>
      <c r="R126">
        <f>任务计划表!N126</f>
        <v/>
      </c>
      <c r="S126">
        <f>IF(O126=人员资源情况!C$2,1,0)</f>
        <v/>
      </c>
      <c r="T126">
        <f>IF(P126&gt;=人员资源情况!A$2,1,0)</f>
        <v/>
      </c>
      <c r="U126">
        <f>IF(Q126&lt;=人员资源情况!B$2,1,0)</f>
        <v/>
      </c>
      <c r="V126">
        <f>IF(T126*U126,Q126-P126,IF(T126&gt;U126,人员资源情况!B$2-P126,IF(T126&lt;U126,任务计划表!Q126-人员资源情况!A$2,0)))*R126*S126</f>
        <v/>
      </c>
      <c r="W126">
        <f>IF(V126&lt;0,0,V126)</f>
        <v/>
      </c>
    </row>
    <row r="127">
      <c r="E127" t="inlineStr">
        <is>
          <t>亚洲</t>
        </is>
      </c>
      <c r="F127" t="inlineStr">
        <is>
          <t>巴勒斯坦超声户表二开</t>
        </is>
      </c>
      <c r="G127" t="inlineStr">
        <is>
          <t>2026-07-09</t>
        </is>
      </c>
      <c r="H127" t="inlineStr">
        <is>
          <t>2026-08-15</t>
        </is>
      </c>
      <c r="I127" t="inlineStr">
        <is>
          <t>TR4</t>
        </is>
      </c>
      <c r="J127" t="inlineStr">
        <is>
          <t>测试用例评审</t>
        </is>
      </c>
      <c r="K127" t="inlineStr">
        <is>
          <t>@袁知正</t>
        </is>
      </c>
      <c r="L127" t="inlineStr">
        <is>
          <t>2026-07-23</t>
        </is>
      </c>
      <c r="M127" t="inlineStr">
        <is>
          <t>2026-07-29</t>
        </is>
      </c>
      <c r="N127" t="n">
        <v>2</v>
      </c>
      <c r="O127">
        <f>任务计划表!K127</f>
        <v/>
      </c>
      <c r="P127">
        <f>IF(IF(任务计划表!L127="/",人员资源情况!$A$2,L127)&gt;M127,M127,(IF(任务计划表!L127="/",人员资源情况!$A$2,L127)))</f>
        <v/>
      </c>
      <c r="Q127">
        <f>IF(M127="/",人员资源情况!$B$2,任务计划表!M127)</f>
        <v/>
      </c>
      <c r="R127">
        <f>任务计划表!N127</f>
        <v/>
      </c>
      <c r="S127">
        <f>IF(O127=人员资源情况!C$2,1,0)</f>
        <v/>
      </c>
      <c r="T127">
        <f>IF(P127&gt;=人员资源情况!A$2,1,0)</f>
        <v/>
      </c>
      <c r="U127">
        <f>IF(Q127&lt;=人员资源情况!B$2,1,0)</f>
        <v/>
      </c>
      <c r="V127">
        <f>IF(T127*U127,Q127-P127,IF(T127&gt;U127,人员资源情况!B$2-P127,IF(T127&lt;U127,任务计划表!Q127-人员资源情况!A$2,0)))*R127*S127</f>
        <v/>
      </c>
      <c r="W127">
        <f>IF(V127&lt;0,0,V127)</f>
        <v/>
      </c>
    </row>
    <row r="128">
      <c r="E128" t="inlineStr">
        <is>
          <t>亚洲</t>
        </is>
      </c>
      <c r="F128" t="inlineStr">
        <is>
          <t>巴勒斯坦超声户表二开</t>
        </is>
      </c>
      <c r="G128" t="inlineStr">
        <is>
          <t>2026-07-09</t>
        </is>
      </c>
      <c r="H128" t="inlineStr">
        <is>
          <t>2026-08-15</t>
        </is>
      </c>
      <c r="I128" t="inlineStr">
        <is>
          <t>TR4A</t>
        </is>
      </c>
      <c r="J128" t="inlineStr">
        <is>
          <t>测试报告</t>
        </is>
      </c>
      <c r="K128" t="inlineStr">
        <is>
          <t>@袁知正</t>
        </is>
      </c>
      <c r="L128" t="inlineStr">
        <is>
          <t>2026-07-30</t>
        </is>
      </c>
      <c r="M128" t="inlineStr">
        <is>
          <t>2026-08-12</t>
        </is>
      </c>
      <c r="N128" t="n">
        <v>8</v>
      </c>
      <c r="O128">
        <f>任务计划表!K128</f>
        <v/>
      </c>
      <c r="P128">
        <f>IF(IF(任务计划表!L128="/",人员资源情况!$A$2,L128)&gt;M128,M128,(IF(任务计划表!L128="/",人员资源情况!$A$2,L128)))</f>
        <v/>
      </c>
      <c r="Q128">
        <f>IF(M128="/",人员资源情况!$B$2,任务计划表!M128)</f>
        <v/>
      </c>
      <c r="R128">
        <f>任务计划表!N128</f>
        <v/>
      </c>
      <c r="S128">
        <f>IF(O128=人员资源情况!C$2,1,0)</f>
        <v/>
      </c>
      <c r="T128">
        <f>IF(P128&gt;=人员资源情况!A$2,1,0)</f>
        <v/>
      </c>
      <c r="U128">
        <f>IF(Q128&lt;=人员资源情况!B$2,1,0)</f>
        <v/>
      </c>
      <c r="V128">
        <f>IF(T128*U128,Q128-P128,IF(T128&gt;U128,人员资源情况!B$2-P128,IF(T128&lt;U128,任务计划表!Q128-人员资源情况!A$2,0)))*R128*S128</f>
        <v/>
      </c>
      <c r="W128">
        <f>IF(V128&lt;0,0,V128)</f>
        <v/>
      </c>
    </row>
    <row r="129">
      <c r="E129" t="inlineStr">
        <is>
          <t>亚洲</t>
        </is>
      </c>
      <c r="F129" t="inlineStr">
        <is>
          <t>巴勒斯坦超声户表二开</t>
        </is>
      </c>
      <c r="G129" t="inlineStr">
        <is>
          <t>2026-07-09</t>
        </is>
      </c>
      <c r="H129" t="inlineStr">
        <is>
          <t>2026-08-15</t>
        </is>
      </c>
      <c r="I129" t="inlineStr">
        <is>
          <t>TR4A</t>
        </is>
      </c>
      <c r="J129" t="inlineStr">
        <is>
          <t>测试报告评审</t>
        </is>
      </c>
      <c r="K129" t="inlineStr">
        <is>
          <t>@袁知正</t>
        </is>
      </c>
      <c r="L129" t="inlineStr">
        <is>
          <t>2026-08-12</t>
        </is>
      </c>
      <c r="M129" t="inlineStr">
        <is>
          <t>2026-08-13</t>
        </is>
      </c>
      <c r="N129" t="n">
        <v>1</v>
      </c>
      <c r="O129">
        <f>任务计划表!K129</f>
        <v/>
      </c>
      <c r="P129">
        <f>IF(IF(任务计划表!L129="/",人员资源情况!$A$2,L129)&gt;M129,M129,(IF(任务计划表!L129="/",人员资源情况!$A$2,L129)))</f>
        <v/>
      </c>
      <c r="Q129">
        <f>IF(M129="/",人员资源情况!$B$2,任务计划表!M129)</f>
        <v/>
      </c>
      <c r="R129">
        <f>任务计划表!N129</f>
        <v/>
      </c>
      <c r="S129">
        <f>IF(O129=人员资源情况!C$2,1,0)</f>
        <v/>
      </c>
      <c r="T129">
        <f>IF(P129&gt;=人员资源情况!A$2,1,0)</f>
        <v/>
      </c>
      <c r="U129">
        <f>IF(Q129&lt;=人员资源情况!B$2,1,0)</f>
        <v/>
      </c>
      <c r="V129">
        <f>IF(T129*U129,Q129-P129,IF(T129&gt;U129,人员资源情况!B$2-P129,IF(T129&lt;U129,任务计划表!Q129-人员资源情况!A$2,0)))*R129*S129</f>
        <v/>
      </c>
      <c r="W129">
        <f>IF(V129&lt;0,0,V129)</f>
        <v/>
      </c>
    </row>
    <row r="130">
      <c r="E130" t="inlineStr">
        <is>
          <t>亚洲</t>
        </is>
      </c>
      <c r="F130" t="inlineStr">
        <is>
          <t>巴勒斯坦超声户表二开</t>
        </is>
      </c>
      <c r="G130" t="inlineStr">
        <is>
          <t>2026-07-09</t>
        </is>
      </c>
      <c r="H130" t="inlineStr">
        <is>
          <t>2026-08-15</t>
        </is>
      </c>
      <c r="I130" t="inlineStr">
        <is>
          <t>TR5</t>
        </is>
      </c>
      <c r="J130" t="inlineStr">
        <is>
          <t>生产工艺及规程制定</t>
        </is>
      </c>
      <c r="K130" t="inlineStr">
        <is>
          <t>@肖庆阳</t>
        </is>
      </c>
      <c r="L130" t="inlineStr">
        <is>
          <t>2026-08-13</t>
        </is>
      </c>
      <c r="M130" t="inlineStr">
        <is>
          <t>2026-08-14</t>
        </is>
      </c>
      <c r="N130" t="n">
        <v>8</v>
      </c>
      <c r="O130">
        <f>任务计划表!K130</f>
        <v/>
      </c>
      <c r="P130">
        <f>IF(IF(任务计划表!L130="/",人员资源情况!$A$2,L130)&gt;M130,M130,(IF(任务计划表!L130="/",人员资源情况!$A$2,L130)))</f>
        <v/>
      </c>
      <c r="Q130">
        <f>IF(M130="/",人员资源情况!$B$2,任务计划表!M130)</f>
        <v/>
      </c>
      <c r="R130">
        <f>任务计划表!N130</f>
        <v/>
      </c>
      <c r="S130">
        <f>IF(O130=人员资源情况!C$2,1,0)</f>
        <v/>
      </c>
      <c r="T130">
        <f>IF(P130&gt;=人员资源情况!A$2,1,0)</f>
        <v/>
      </c>
      <c r="U130">
        <f>IF(Q130&lt;=人员资源情况!B$2,1,0)</f>
        <v/>
      </c>
      <c r="V130">
        <f>IF(T130*U130,Q130-P130,IF(T130&gt;U130,人员资源情况!B$2-P130,IF(T130&lt;U130,任务计划表!Q130-人员资源情况!A$2,0)))*R130*S130</f>
        <v/>
      </c>
      <c r="W130">
        <f>IF(V130&lt;0,0,V130)</f>
        <v/>
      </c>
    </row>
    <row r="131">
      <c r="E131" t="inlineStr">
        <is>
          <t>亚洲</t>
        </is>
      </c>
      <c r="F131" t="inlineStr">
        <is>
          <t>巴勒斯坦超声户表二开</t>
        </is>
      </c>
      <c r="G131" t="inlineStr">
        <is>
          <t>2026-07-09</t>
        </is>
      </c>
      <c r="H131" t="inlineStr">
        <is>
          <t>2026-08-15</t>
        </is>
      </c>
      <c r="I131" t="inlineStr">
        <is>
          <t>TR5</t>
        </is>
      </c>
      <c r="J131" t="inlineStr">
        <is>
          <t>产品参数配置表</t>
        </is>
      </c>
      <c r="K131" t="inlineStr">
        <is>
          <t>@毛文豪(80018842)</t>
        </is>
      </c>
      <c r="L131" t="inlineStr">
        <is>
          <t>2026-08-13</t>
        </is>
      </c>
      <c r="M131" t="inlineStr">
        <is>
          <t>2026-08-14</t>
        </is>
      </c>
      <c r="N131" t="n">
        <v>2</v>
      </c>
      <c r="O131">
        <f>任务计划表!K131</f>
        <v/>
      </c>
      <c r="P131">
        <f>IF(IF(任务计划表!L131="/",人员资源情况!$A$2,L131)&gt;M131,M131,(IF(任务计划表!L131="/",人员资源情况!$A$2,L131)))</f>
        <v/>
      </c>
      <c r="Q131">
        <f>IF(M131="/",人员资源情况!$B$2,任务计划表!M131)</f>
        <v/>
      </c>
      <c r="R131">
        <f>任务计划表!N131</f>
        <v/>
      </c>
      <c r="S131">
        <f>IF(O131=人员资源情况!C$2,1,0)</f>
        <v/>
      </c>
      <c r="T131">
        <f>IF(P131&gt;=人员资源情况!A$2,1,0)</f>
        <v/>
      </c>
      <c r="U131">
        <f>IF(Q131&lt;=人员资源情况!B$2,1,0)</f>
        <v/>
      </c>
      <c r="V131">
        <f>IF(T131*U131,Q131-P131,IF(T131&gt;U131,人员资源情况!B$2-P131,IF(T131&lt;U131,任务计划表!Q131-人员资源情况!A$2,0)))*R131*S131</f>
        <v/>
      </c>
      <c r="W131">
        <f>IF(V131&lt;0,0,V131)</f>
        <v/>
      </c>
    </row>
    <row r="132">
      <c r="E132" t="inlineStr">
        <is>
          <t>亚洲</t>
        </is>
      </c>
      <c r="F132" t="inlineStr">
        <is>
          <t>巴勒斯坦超声户表二开</t>
        </is>
      </c>
      <c r="G132" t="inlineStr">
        <is>
          <t>2026-07-09</t>
        </is>
      </c>
      <c r="H132" t="inlineStr">
        <is>
          <t>2026-08-15</t>
        </is>
      </c>
      <c r="I132" t="inlineStr">
        <is>
          <t>TR5</t>
        </is>
      </c>
      <c r="J132" t="inlineStr">
        <is>
          <t>生产资料归档</t>
        </is>
      </c>
      <c r="K132" t="inlineStr">
        <is>
          <t>@肖庆阳</t>
        </is>
      </c>
      <c r="L132" t="inlineStr">
        <is>
          <t>2026-08-14</t>
        </is>
      </c>
      <c r="M132" t="inlineStr">
        <is>
          <t>2026-08-15</t>
        </is>
      </c>
      <c r="N132" t="n">
        <v>8</v>
      </c>
      <c r="O132">
        <f>任务计划表!K132</f>
        <v/>
      </c>
      <c r="P132">
        <f>IF(IF(任务计划表!L132="/",人员资源情况!$A$2,L132)&gt;M132,M132,(IF(任务计划表!L132="/",人员资源情况!$A$2,L132)))</f>
        <v/>
      </c>
      <c r="Q132">
        <f>IF(M132="/",人员资源情况!$B$2,任务计划表!M132)</f>
        <v/>
      </c>
      <c r="R132">
        <f>任务计划表!N132</f>
        <v/>
      </c>
      <c r="S132">
        <f>IF(O132=人员资源情况!C$2,1,0)</f>
        <v/>
      </c>
      <c r="T132">
        <f>IF(P132&gt;=人员资源情况!A$2,1,0)</f>
        <v/>
      </c>
      <c r="U132">
        <f>IF(Q132&lt;=人员资源情况!B$2,1,0)</f>
        <v/>
      </c>
      <c r="V132">
        <f>IF(T132*U132,Q132-P132,IF(T132&gt;U132,人员资源情况!B$2-P132,IF(T132&lt;U132,任务计划表!Q132-人员资源情况!A$2,0)))*R132*S132</f>
        <v/>
      </c>
      <c r="W132">
        <f>IF(V132&lt;0,0,V132)</f>
        <v/>
      </c>
    </row>
    <row r="133">
      <c r="E133" t="inlineStr">
        <is>
          <t>亚洲</t>
        </is>
      </c>
      <c r="F133" t="inlineStr">
        <is>
          <t>巴勒斯坦超声户表二开</t>
        </is>
      </c>
      <c r="G133" t="inlineStr">
        <is>
          <t>2026-07-09</t>
        </is>
      </c>
      <c r="H133" t="inlineStr">
        <is>
          <t>2026-08-15</t>
        </is>
      </c>
      <c r="I133" t="inlineStr">
        <is>
          <t>TR5</t>
        </is>
      </c>
      <c r="J133" t="inlineStr">
        <is>
          <t>项目结项评审</t>
        </is>
      </c>
      <c r="K133" t="inlineStr">
        <is>
          <t>@毛文豪(80018842)</t>
        </is>
      </c>
      <c r="L133" t="inlineStr">
        <is>
          <t>2026-08-14</t>
        </is>
      </c>
      <c r="M133" t="inlineStr">
        <is>
          <t>2026-08-15</t>
        </is>
      </c>
      <c r="N133" t="n">
        <v>1</v>
      </c>
      <c r="O133">
        <f>任务计划表!K133</f>
        <v/>
      </c>
      <c r="P133">
        <f>IF(IF(任务计划表!L133="/",人员资源情况!$A$2,L133)&gt;M133,M133,(IF(任务计划表!L133="/",人员资源情况!$A$2,L133)))</f>
        <v/>
      </c>
      <c r="Q133">
        <f>IF(M133="/",人员资源情况!$B$2,任务计划表!M133)</f>
        <v/>
      </c>
      <c r="R133">
        <f>任务计划表!N133</f>
        <v/>
      </c>
      <c r="S133">
        <f>IF(O133=人员资源情况!C$2,1,0)</f>
        <v/>
      </c>
      <c r="T133">
        <f>IF(P133&gt;=人员资源情况!A$2,1,0)</f>
        <v/>
      </c>
      <c r="U133">
        <f>IF(Q133&lt;=人员资源情况!B$2,1,0)</f>
        <v/>
      </c>
      <c r="V133">
        <f>IF(T133*U133,Q133-P133,IF(T133&gt;U133,人员资源情况!B$2-P133,IF(T133&lt;U133,任务计划表!Q133-人员资源情况!A$2,0)))*R133*S133</f>
        <v/>
      </c>
      <c r="W133">
        <f>IF(V133&lt;0,0,V133)</f>
        <v/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2026-07-23T06:57:39Z</dcterms:modified>
  <cp:lastModifiedBy>项家祺</cp:lastModifiedBy>
</cp:coreProperties>
</file>