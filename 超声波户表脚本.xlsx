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X14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A53" s="0" t="inlineStr"/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>魏殷浩</t>
        </is>
      </c>
      <c r="L53" s="19" t="inlineStr">
        <is>
          <t>2026-07-07</t>
        </is>
      </c>
      <c r="M53" s="19" t="inlineStr">
        <is>
          <t>2026-07-10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A95" s="0" t="inlineStr">
        <is>
          <t>已归档</t>
        </is>
      </c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s="0" t="inlineStr">
        <is>
          <t>已归档</t>
        </is>
      </c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A112" s="0" t="inlineStr">
        <is>
          <t>已归档</t>
        </is>
      </c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A113" s="0" t="inlineStr">
        <is>
          <t>已归档</t>
        </is>
      </c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A114" s="0" t="inlineStr">
        <is>
          <t>已归档</t>
        </is>
      </c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A115" s="0" t="inlineStr">
        <is>
          <t>已归档</t>
        </is>
      </c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A116" s="0" t="inlineStr">
        <is>
          <t>已归档</t>
        </is>
      </c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A117" s="0" t="inlineStr">
        <is>
          <t>已归档</t>
        </is>
      </c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A118" s="0" t="inlineStr">
        <is>
          <t>已归档</t>
        </is>
      </c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A119" s="0" t="inlineStr">
        <is>
          <t>已归档</t>
        </is>
      </c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E134" t="inlineStr"/>
      <c r="F134" t="inlineStr">
        <is>
          <t>巴勒斯坦超声户表二开</t>
        </is>
      </c>
      <c r="G134" t="inlineStr">
        <is>
          <t>2026-07-09</t>
        </is>
      </c>
      <c r="H134" t="inlineStr">
        <is>
          <t>2026-08-15</t>
        </is>
      </c>
      <c r="I134" t="inlineStr">
        <is>
          <t>TR1</t>
        </is>
      </c>
      <c r="J134" t="inlineStr">
        <is>
          <t>需求导入</t>
        </is>
      </c>
      <c r="K134" t="inlineStr">
        <is>
          <t>@毛文豪(80018842)</t>
        </is>
      </c>
      <c r="L134" t="inlineStr">
        <is>
          <t>2026-07-09</t>
        </is>
      </c>
      <c r="M134" t="inlineStr">
        <is>
          <t>2026-07-10</t>
        </is>
      </c>
      <c r="N134" t="n">
        <v>0</v>
      </c>
      <c r="O134">
        <f>任务计划表!K134</f>
        <v/>
      </c>
      <c r="P134">
        <f>IF(IF(任务计划表!L134="/",人员资源情况!$A$2,L134)&gt;M134,M134,(IF(任务计划表!L134="/",人员资源情况!$A$2,L134)))</f>
        <v/>
      </c>
      <c r="Q134">
        <f>IF(M134="/",人员资源情况!$B$2,任务计划表!M134)</f>
        <v/>
      </c>
      <c r="R134">
        <f>任务计划表!N134</f>
        <v/>
      </c>
      <c r="S134">
        <f>IF(O134=人员资源情况!C$2,1,0)</f>
        <v/>
      </c>
      <c r="T134">
        <f>IF(P134&gt;=人员资源情况!A$2,1,0)</f>
        <v/>
      </c>
      <c r="U134">
        <f>IF(Q134&lt;=人员资源情况!B$2,1,0)</f>
        <v/>
      </c>
      <c r="V134">
        <f>IF(T134*U134,Q134-P134,IF(T134&gt;U134,人员资源情况!B$2-P134,IF(T134&lt;U134,任务计划表!Q134-人员资源情况!A$2,0)))*R134*S134</f>
        <v/>
      </c>
      <c r="W134">
        <f>IF(V134&lt;0,0,V134)</f>
        <v/>
      </c>
    </row>
    <row r="135">
      <c r="E135" t="inlineStr"/>
      <c r="F135" t="inlineStr">
        <is>
          <t>巴勒斯坦超声户表二开</t>
        </is>
      </c>
      <c r="G135" t="inlineStr">
        <is>
          <t>2026-07-09</t>
        </is>
      </c>
      <c r="H135" t="inlineStr">
        <is>
          <t>2026-08-15</t>
        </is>
      </c>
      <c r="I135" t="inlineStr">
        <is>
          <t>TR1</t>
        </is>
      </c>
      <c r="J135" t="inlineStr">
        <is>
          <t>需求评审</t>
        </is>
      </c>
      <c r="K135" t="inlineStr">
        <is>
          <t>@毛文豪(80018842)</t>
        </is>
      </c>
      <c r="L135" t="inlineStr">
        <is>
          <t>2026-07-09</t>
        </is>
      </c>
      <c r="M135" t="inlineStr">
        <is>
          <t>2026-07-10</t>
        </is>
      </c>
      <c r="N135" t="n">
        <v>0</v>
      </c>
      <c r="O135">
        <f>任务计划表!K135</f>
        <v/>
      </c>
      <c r="P135">
        <f>IF(IF(任务计划表!L135="/",人员资源情况!$A$2,L135)&gt;M135,M135,(IF(任务计划表!L135="/",人员资源情况!$A$2,L135)))</f>
        <v/>
      </c>
      <c r="Q135">
        <f>IF(M135="/",人员资源情况!$B$2,任务计划表!M135)</f>
        <v/>
      </c>
      <c r="R135">
        <f>任务计划表!N135</f>
        <v/>
      </c>
      <c r="S135">
        <f>IF(O135=人员资源情况!C$2,1,0)</f>
        <v/>
      </c>
      <c r="T135">
        <f>IF(P135&gt;=人员资源情况!A$2,1,0)</f>
        <v/>
      </c>
      <c r="U135">
        <f>IF(Q135&lt;=人员资源情况!B$2,1,0)</f>
        <v/>
      </c>
      <c r="V135">
        <f>IF(T135*U135,Q135-P135,IF(T135&gt;U135,人员资源情况!B$2-P135,IF(T135&lt;U135,任务计划表!Q135-人员资源情况!A$2,0)))*R135*S135</f>
        <v/>
      </c>
      <c r="W135">
        <f>IF(V135&lt;0,0,V135)</f>
        <v/>
      </c>
    </row>
    <row r="136">
      <c r="E136" t="inlineStr"/>
      <c r="F136" t="inlineStr">
        <is>
          <t>巴勒斯坦超声户表二开</t>
        </is>
      </c>
      <c r="G136" t="inlineStr">
        <is>
          <t>2026-07-09</t>
        </is>
      </c>
      <c r="H136" t="inlineStr">
        <is>
          <t>2026-08-15</t>
        </is>
      </c>
      <c r="I136" t="inlineStr">
        <is>
          <t>TR3</t>
        </is>
      </c>
      <c r="J136" t="inlineStr">
        <is>
          <t>巴勒斯坦二开SE文档评审</t>
        </is>
      </c>
      <c r="K136" t="inlineStr">
        <is>
          <t>@毛文豪(80018842)</t>
        </is>
      </c>
      <c r="L136" t="inlineStr">
        <is>
          <t>2026-07-21</t>
        </is>
      </c>
      <c r="M136" t="inlineStr">
        <is>
          <t>2026-07-23</t>
        </is>
      </c>
      <c r="N136" t="n">
        <v>8</v>
      </c>
      <c r="O136">
        <f>任务计划表!K136</f>
        <v/>
      </c>
      <c r="P136">
        <f>IF(IF(任务计划表!L136="/",人员资源情况!$A$2,L136)&gt;M136,M136,(IF(任务计划表!L136="/",人员资源情况!$A$2,L136)))</f>
        <v/>
      </c>
      <c r="Q136">
        <f>IF(M136="/",人员资源情况!$B$2,任务计划表!M136)</f>
        <v/>
      </c>
      <c r="R136">
        <f>任务计划表!N136</f>
        <v/>
      </c>
      <c r="S136">
        <f>IF(O136=人员资源情况!C$2,1,0)</f>
        <v/>
      </c>
      <c r="T136">
        <f>IF(P136&gt;=人员资源情况!A$2,1,0)</f>
        <v/>
      </c>
      <c r="U136">
        <f>IF(Q136&lt;=人员资源情况!B$2,1,0)</f>
        <v/>
      </c>
      <c r="V136">
        <f>IF(T136*U136,Q136-P136,IF(T136&gt;U136,人员资源情况!B$2-P136,IF(T136&lt;U136,任务计划表!Q136-人员资源情况!A$2,0)))*R136*S136</f>
        <v/>
      </c>
      <c r="W136">
        <f>IF(V136&lt;0,0,V136)</f>
        <v/>
      </c>
    </row>
    <row r="137">
      <c r="E137" t="inlineStr"/>
      <c r="F137" t="inlineStr">
        <is>
          <t>巴勒斯坦超声户表二开</t>
        </is>
      </c>
      <c r="G137" t="inlineStr">
        <is>
          <t>2026-07-09</t>
        </is>
      </c>
      <c r="H137" t="inlineStr">
        <is>
          <t>2026-08-15</t>
        </is>
      </c>
      <c r="I137" t="inlineStr">
        <is>
          <t>TR4</t>
        </is>
      </c>
      <c r="J137" t="inlineStr">
        <is>
          <t>水表固件代码编写</t>
        </is>
      </c>
      <c r="K137" t="inlineStr">
        <is>
          <t>@毛文豪(80018842)</t>
        </is>
      </c>
      <c r="L137" t="inlineStr">
        <is>
          <t>2026-07-23</t>
        </is>
      </c>
      <c r="M137" t="inlineStr">
        <is>
          <t>2026-07-25</t>
        </is>
      </c>
      <c r="N137" t="n">
        <v>6</v>
      </c>
      <c r="O137">
        <f>任务计划表!K137</f>
        <v/>
      </c>
      <c r="P137">
        <f>IF(IF(任务计划表!L137="/",人员资源情况!$A$2,L137)&gt;M137,M137,(IF(任务计划表!L137="/",人员资源情况!$A$2,L137)))</f>
        <v/>
      </c>
      <c r="Q137">
        <f>IF(M137="/",人员资源情况!$B$2,任务计划表!M137)</f>
        <v/>
      </c>
      <c r="R137">
        <f>任务计划表!N137</f>
        <v/>
      </c>
      <c r="S137">
        <f>IF(O137=人员资源情况!C$2,1,0)</f>
        <v/>
      </c>
      <c r="T137">
        <f>IF(P137&gt;=人员资源情况!A$2,1,0)</f>
        <v/>
      </c>
      <c r="U137">
        <f>IF(Q137&lt;=人员资源情况!B$2,1,0)</f>
        <v/>
      </c>
      <c r="V137">
        <f>IF(T137*U137,Q137-P137,IF(T137&gt;U137,人员资源情况!B$2-P137,IF(T137&lt;U137,任务计划表!Q137-人员资源情况!A$2,0)))*R137*S137</f>
        <v/>
      </c>
      <c r="W137">
        <f>IF(V137&lt;0,0,V137)</f>
        <v/>
      </c>
    </row>
    <row r="138">
      <c r="E138" t="inlineStr"/>
      <c r="F138" t="inlineStr">
        <is>
          <t>巴勒斯坦超声户表二开</t>
        </is>
      </c>
      <c r="G138" t="inlineStr">
        <is>
          <t>2026-07-09</t>
        </is>
      </c>
      <c r="H138" t="inlineStr">
        <is>
          <t>2026-08-15</t>
        </is>
      </c>
      <c r="I138" t="inlineStr">
        <is>
          <t>TR4</t>
        </is>
      </c>
      <c r="J138" t="inlineStr">
        <is>
          <t>水表固件自测</t>
        </is>
      </c>
      <c r="K138" t="inlineStr">
        <is>
          <t>@毛文豪(80018842)</t>
        </is>
      </c>
      <c r="L138" t="inlineStr">
        <is>
          <t>2026-07-27</t>
        </is>
      </c>
      <c r="M138" t="inlineStr">
        <is>
          <t>2026-07-29</t>
        </is>
      </c>
      <c r="N138" t="n">
        <v>6</v>
      </c>
      <c r="O138">
        <f>任务计划表!K138</f>
        <v/>
      </c>
      <c r="P138">
        <f>IF(IF(任务计划表!L138="/",人员资源情况!$A$2,L138)&gt;M138,M138,(IF(任务计划表!L138="/",人员资源情况!$A$2,L138)))</f>
        <v/>
      </c>
      <c r="Q138">
        <f>IF(M138="/",人员资源情况!$B$2,任务计划表!M138)</f>
        <v/>
      </c>
      <c r="R138">
        <f>任务计划表!N138</f>
        <v/>
      </c>
      <c r="S138">
        <f>IF(O138=人员资源情况!C$2,1,0)</f>
        <v/>
      </c>
      <c r="T138">
        <f>IF(P138&gt;=人员资源情况!A$2,1,0)</f>
        <v/>
      </c>
      <c r="U138">
        <f>IF(Q138&lt;=人员资源情况!B$2,1,0)</f>
        <v/>
      </c>
      <c r="V138">
        <f>IF(T138*U138,Q138-P138,IF(T138&gt;U138,人员资源情况!B$2-P138,IF(T138&lt;U138,任务计划表!Q138-人员资源情况!A$2,0)))*R138*S138</f>
        <v/>
      </c>
      <c r="W138">
        <f>IF(V138&lt;0,0,V138)</f>
        <v/>
      </c>
    </row>
    <row r="139">
      <c r="E139" t="inlineStr"/>
      <c r="F139" t="inlineStr">
        <is>
          <t>巴勒斯坦超声户表二开</t>
        </is>
      </c>
      <c r="G139" t="inlineStr">
        <is>
          <t>2026-07-09</t>
        </is>
      </c>
      <c r="H139" t="inlineStr">
        <is>
          <t>2026-08-15</t>
        </is>
      </c>
      <c r="I139" t="inlineStr">
        <is>
          <t>TR4</t>
        </is>
      </c>
      <c r="J139" t="inlineStr">
        <is>
          <t>CIU固件代码编写</t>
        </is>
      </c>
      <c r="K139" t="inlineStr">
        <is>
          <t>@毛文豪(80018842)</t>
        </is>
      </c>
      <c r="L139" t="inlineStr">
        <is>
          <t>2026-07-29</t>
        </is>
      </c>
      <c r="M139" t="inlineStr">
        <is>
          <t>2026-07-30</t>
        </is>
      </c>
      <c r="N139" t="n">
        <v>6</v>
      </c>
      <c r="O139">
        <f>任务计划表!K139</f>
        <v/>
      </c>
      <c r="P139">
        <f>IF(IF(任务计划表!L139="/",人员资源情况!$A$2,L139)&gt;M139,M139,(IF(任务计划表!L139="/",人员资源情况!$A$2,L139)))</f>
        <v/>
      </c>
      <c r="Q139">
        <f>IF(M139="/",人员资源情况!$B$2,任务计划表!M139)</f>
        <v/>
      </c>
      <c r="R139">
        <f>任务计划表!N139</f>
        <v/>
      </c>
      <c r="S139">
        <f>IF(O139=人员资源情况!C$2,1,0)</f>
        <v/>
      </c>
      <c r="T139">
        <f>IF(P139&gt;=人员资源情况!A$2,1,0)</f>
        <v/>
      </c>
      <c r="U139">
        <f>IF(Q139&lt;=人员资源情况!B$2,1,0)</f>
        <v/>
      </c>
      <c r="V139">
        <f>IF(T139*U139,Q139-P139,IF(T139&gt;U139,人员资源情况!B$2-P139,IF(T139&lt;U139,任务计划表!Q139-人员资源情况!A$2,0)))*R139*S139</f>
        <v/>
      </c>
      <c r="W139">
        <f>IF(V139&lt;0,0,V139)</f>
        <v/>
      </c>
    </row>
    <row r="140">
      <c r="E140" t="inlineStr"/>
      <c r="F140" t="inlineStr">
        <is>
          <t>巴勒斯坦超声户表二开</t>
        </is>
      </c>
      <c r="G140" t="inlineStr">
        <is>
          <t>2026-07-09</t>
        </is>
      </c>
      <c r="H140" t="inlineStr">
        <is>
          <t>2026-08-15</t>
        </is>
      </c>
      <c r="I140" t="inlineStr">
        <is>
          <t>TR4A</t>
        </is>
      </c>
      <c r="J140" t="inlineStr">
        <is>
          <t>样机制作</t>
        </is>
      </c>
      <c r="K140" t="inlineStr">
        <is>
          <t>@文春英</t>
        </is>
      </c>
      <c r="L140" t="inlineStr">
        <is>
          <t>2026-07-30</t>
        </is>
      </c>
      <c r="M140" t="inlineStr">
        <is>
          <t>2026-08-03</t>
        </is>
      </c>
      <c r="N140" t="n">
        <v>2</v>
      </c>
      <c r="O140">
        <f>任务计划表!K140</f>
        <v/>
      </c>
      <c r="P140">
        <f>IF(IF(任务计划表!L140="/",人员资源情况!$A$2,L140)&gt;M140,M140,(IF(任务计划表!L140="/",人员资源情况!$A$2,L140)))</f>
        <v/>
      </c>
      <c r="Q140">
        <f>IF(M140="/",人员资源情况!$B$2,任务计划表!M140)</f>
        <v/>
      </c>
      <c r="R140">
        <f>任务计划表!N140</f>
        <v/>
      </c>
      <c r="S140">
        <f>IF(O140=人员资源情况!C$2,1,0)</f>
        <v/>
      </c>
      <c r="T140">
        <f>IF(P140&gt;=人员资源情况!A$2,1,0)</f>
        <v/>
      </c>
      <c r="U140">
        <f>IF(Q140&lt;=人员资源情况!B$2,1,0)</f>
        <v/>
      </c>
      <c r="V140">
        <f>IF(T140*U140,Q140-P140,IF(T140&gt;U140,人员资源情况!B$2-P140,IF(T140&lt;U140,任务计划表!Q140-人员资源情况!A$2,0)))*R140*S140</f>
        <v/>
      </c>
      <c r="W140">
        <f>IF(V140&lt;0,0,V140)</f>
        <v/>
      </c>
    </row>
    <row r="141">
      <c r="E141" t="inlineStr"/>
      <c r="F141" t="inlineStr">
        <is>
          <t>巴勒斯坦超声户表二开</t>
        </is>
      </c>
      <c r="G141" t="inlineStr">
        <is>
          <t>2026-07-09</t>
        </is>
      </c>
      <c r="H141" t="inlineStr">
        <is>
          <t>2026-08-15</t>
        </is>
      </c>
      <c r="I141" t="inlineStr">
        <is>
          <t>TR4</t>
        </is>
      </c>
      <c r="J141" t="inlineStr">
        <is>
          <t>测试用例评审</t>
        </is>
      </c>
      <c r="K141" t="inlineStr">
        <is>
          <t>@袁知正</t>
        </is>
      </c>
      <c r="L141" t="inlineStr">
        <is>
          <t>2026-07-23</t>
        </is>
      </c>
      <c r="M141" t="inlineStr">
        <is>
          <t>2026-07-29</t>
        </is>
      </c>
      <c r="N141" t="n">
        <v>2</v>
      </c>
      <c r="O141">
        <f>任务计划表!K141</f>
        <v/>
      </c>
      <c r="P141">
        <f>IF(IF(任务计划表!L141="/",人员资源情况!$A$2,L141)&gt;M141,M141,(IF(任务计划表!L141="/",人员资源情况!$A$2,L141)))</f>
        <v/>
      </c>
      <c r="Q141">
        <f>IF(M141="/",人员资源情况!$B$2,任务计划表!M141)</f>
        <v/>
      </c>
      <c r="R141">
        <f>任务计划表!N141</f>
        <v/>
      </c>
      <c r="S141">
        <f>IF(O141=人员资源情况!C$2,1,0)</f>
        <v/>
      </c>
      <c r="T141">
        <f>IF(P141&gt;=人员资源情况!A$2,1,0)</f>
        <v/>
      </c>
      <c r="U141">
        <f>IF(Q141&lt;=人员资源情况!B$2,1,0)</f>
        <v/>
      </c>
      <c r="V141">
        <f>IF(T141*U141,Q141-P141,IF(T141&gt;U141,人员资源情况!B$2-P141,IF(T141&lt;U141,任务计划表!Q141-人员资源情况!A$2,0)))*R141*S141</f>
        <v/>
      </c>
      <c r="W141">
        <f>IF(V141&lt;0,0,V141)</f>
        <v/>
      </c>
    </row>
    <row r="142">
      <c r="E142" t="inlineStr"/>
      <c r="F142" t="inlineStr">
        <is>
          <t>巴勒斯坦超声户表二开</t>
        </is>
      </c>
      <c r="G142" t="inlineStr">
        <is>
          <t>2026-07-09</t>
        </is>
      </c>
      <c r="H142" t="inlineStr">
        <is>
          <t>2026-08-15</t>
        </is>
      </c>
      <c r="I142" t="inlineStr">
        <is>
          <t>TR4A</t>
        </is>
      </c>
      <c r="J142" t="inlineStr">
        <is>
          <t>测试报告</t>
        </is>
      </c>
      <c r="K142" t="inlineStr">
        <is>
          <t>@袁知正</t>
        </is>
      </c>
      <c r="L142" t="inlineStr">
        <is>
          <t>2026-07-30</t>
        </is>
      </c>
      <c r="M142" t="inlineStr">
        <is>
          <t>2026-08-12</t>
        </is>
      </c>
      <c r="N142" t="n">
        <v>8</v>
      </c>
      <c r="O142">
        <f>任务计划表!K142</f>
        <v/>
      </c>
      <c r="P142">
        <f>IF(IF(任务计划表!L142="/",人员资源情况!$A$2,L142)&gt;M142,M142,(IF(任务计划表!L142="/",人员资源情况!$A$2,L142)))</f>
        <v/>
      </c>
      <c r="Q142">
        <f>IF(M142="/",人员资源情况!$B$2,任务计划表!M142)</f>
        <v/>
      </c>
      <c r="R142">
        <f>任务计划表!N142</f>
        <v/>
      </c>
      <c r="S142">
        <f>IF(O142=人员资源情况!C$2,1,0)</f>
        <v/>
      </c>
      <c r="T142">
        <f>IF(P142&gt;=人员资源情况!A$2,1,0)</f>
        <v/>
      </c>
      <c r="U142">
        <f>IF(Q142&lt;=人员资源情况!B$2,1,0)</f>
        <v/>
      </c>
      <c r="V142">
        <f>IF(T142*U142,Q142-P142,IF(T142&gt;U142,人员资源情况!B$2-P142,IF(T142&lt;U142,任务计划表!Q142-人员资源情况!A$2,0)))*R142*S142</f>
        <v/>
      </c>
      <c r="W142">
        <f>IF(V142&lt;0,0,V142)</f>
        <v/>
      </c>
    </row>
    <row r="143">
      <c r="E143" t="inlineStr"/>
      <c r="F143" t="inlineStr">
        <is>
          <t>巴勒斯坦超声户表二开</t>
        </is>
      </c>
      <c r="G143" t="inlineStr">
        <is>
          <t>2026-07-09</t>
        </is>
      </c>
      <c r="H143" t="inlineStr">
        <is>
          <t>2026-08-15</t>
        </is>
      </c>
      <c r="I143" t="inlineStr">
        <is>
          <t>TR4A</t>
        </is>
      </c>
      <c r="J143" t="inlineStr">
        <is>
          <t>测试报告评审</t>
        </is>
      </c>
      <c r="K143" t="inlineStr">
        <is>
          <t>@袁知正</t>
        </is>
      </c>
      <c r="L143" t="inlineStr">
        <is>
          <t>2026-08-12</t>
        </is>
      </c>
      <c r="M143" t="inlineStr">
        <is>
          <t>2026-08-13</t>
        </is>
      </c>
      <c r="N143" t="n">
        <v>1</v>
      </c>
      <c r="O143">
        <f>任务计划表!K143</f>
        <v/>
      </c>
      <c r="P143">
        <f>IF(IF(任务计划表!L143="/",人员资源情况!$A$2,L143)&gt;M143,M143,(IF(任务计划表!L143="/",人员资源情况!$A$2,L143)))</f>
        <v/>
      </c>
      <c r="Q143">
        <f>IF(M143="/",人员资源情况!$B$2,任务计划表!M143)</f>
        <v/>
      </c>
      <c r="R143">
        <f>任务计划表!N143</f>
        <v/>
      </c>
      <c r="S143">
        <f>IF(O143=人员资源情况!C$2,1,0)</f>
        <v/>
      </c>
      <c r="T143">
        <f>IF(P143&gt;=人员资源情况!A$2,1,0)</f>
        <v/>
      </c>
      <c r="U143">
        <f>IF(Q143&lt;=人员资源情况!B$2,1,0)</f>
        <v/>
      </c>
      <c r="V143">
        <f>IF(T143*U143,Q143-P143,IF(T143&gt;U143,人员资源情况!B$2-P143,IF(T143&lt;U143,任务计划表!Q143-人员资源情况!A$2,0)))*R143*S143</f>
        <v/>
      </c>
      <c r="W143">
        <f>IF(V143&lt;0,0,V143)</f>
        <v/>
      </c>
    </row>
    <row r="144">
      <c r="E144" t="inlineStr"/>
      <c r="F144" t="inlineStr">
        <is>
          <t>巴勒斯坦超声户表二开</t>
        </is>
      </c>
      <c r="G144" t="inlineStr">
        <is>
          <t>2026-07-09</t>
        </is>
      </c>
      <c r="H144" t="inlineStr">
        <is>
          <t>2026-08-15</t>
        </is>
      </c>
      <c r="I144" t="inlineStr">
        <is>
          <t>TR5</t>
        </is>
      </c>
      <c r="J144" t="inlineStr">
        <is>
          <t>生产工艺及规程制定</t>
        </is>
      </c>
      <c r="K144" t="inlineStr">
        <is>
          <t>@肖庆阳</t>
        </is>
      </c>
      <c r="L144" t="inlineStr">
        <is>
          <t>2026-08-13</t>
        </is>
      </c>
      <c r="M144" t="inlineStr">
        <is>
          <t>2026-08-14</t>
        </is>
      </c>
      <c r="N144" t="n">
        <v>8</v>
      </c>
      <c r="O144">
        <f>任务计划表!K144</f>
        <v/>
      </c>
      <c r="P144">
        <f>IF(IF(任务计划表!L144="/",人员资源情况!$A$2,L144)&gt;M144,M144,(IF(任务计划表!L144="/",人员资源情况!$A$2,L144)))</f>
        <v/>
      </c>
      <c r="Q144">
        <f>IF(M144="/",人员资源情况!$B$2,任务计划表!M144)</f>
        <v/>
      </c>
      <c r="R144">
        <f>任务计划表!N144</f>
        <v/>
      </c>
      <c r="S144">
        <f>IF(O144=人员资源情况!C$2,1,0)</f>
        <v/>
      </c>
      <c r="T144">
        <f>IF(P144&gt;=人员资源情况!A$2,1,0)</f>
        <v/>
      </c>
      <c r="U144">
        <f>IF(Q144&lt;=人员资源情况!B$2,1,0)</f>
        <v/>
      </c>
      <c r="V144">
        <f>IF(T144*U144,Q144-P144,IF(T144&gt;U144,人员资源情况!B$2-P144,IF(T144&lt;U144,任务计划表!Q144-人员资源情况!A$2,0)))*R144*S144</f>
        <v/>
      </c>
      <c r="W144">
        <f>IF(V144&lt;0,0,V144)</f>
        <v/>
      </c>
    </row>
    <row r="145">
      <c r="E145" t="inlineStr"/>
      <c r="F145" t="inlineStr">
        <is>
          <t>巴勒斯坦超声户表二开</t>
        </is>
      </c>
      <c r="G145" t="inlineStr">
        <is>
          <t>2026-07-09</t>
        </is>
      </c>
      <c r="H145" t="inlineStr">
        <is>
          <t>2026-08-15</t>
        </is>
      </c>
      <c r="I145" t="inlineStr">
        <is>
          <t>TR5</t>
        </is>
      </c>
      <c r="J145" t="inlineStr">
        <is>
          <t>产品参数配置表</t>
        </is>
      </c>
      <c r="K145" t="inlineStr">
        <is>
          <t>@毛文豪(80018842)</t>
        </is>
      </c>
      <c r="L145" t="inlineStr">
        <is>
          <t>2026-08-13</t>
        </is>
      </c>
      <c r="M145" t="inlineStr">
        <is>
          <t>2026-08-14</t>
        </is>
      </c>
      <c r="N145" t="n">
        <v>2</v>
      </c>
      <c r="O145">
        <f>任务计划表!K145</f>
        <v/>
      </c>
      <c r="P145">
        <f>IF(IF(任务计划表!L145="/",人员资源情况!$A$2,L145)&gt;M145,M145,(IF(任务计划表!L145="/",人员资源情况!$A$2,L145)))</f>
        <v/>
      </c>
      <c r="Q145">
        <f>IF(M145="/",人员资源情况!$B$2,任务计划表!M145)</f>
        <v/>
      </c>
      <c r="R145">
        <f>任务计划表!N145</f>
        <v/>
      </c>
      <c r="S145">
        <f>IF(O145=人员资源情况!C$2,1,0)</f>
        <v/>
      </c>
      <c r="T145">
        <f>IF(P145&gt;=人员资源情况!A$2,1,0)</f>
        <v/>
      </c>
      <c r="U145">
        <f>IF(Q145&lt;=人员资源情况!B$2,1,0)</f>
        <v/>
      </c>
      <c r="V145">
        <f>IF(T145*U145,Q145-P145,IF(T145&gt;U145,人员资源情况!B$2-P145,IF(T145&lt;U145,任务计划表!Q145-人员资源情况!A$2,0)))*R145*S145</f>
        <v/>
      </c>
      <c r="W145">
        <f>IF(V145&lt;0,0,V145)</f>
        <v/>
      </c>
    </row>
    <row r="146">
      <c r="E146" t="inlineStr"/>
      <c r="F146" t="inlineStr">
        <is>
          <t>巴勒斯坦超声户表二开</t>
        </is>
      </c>
      <c r="G146" t="inlineStr">
        <is>
          <t>2026-07-09</t>
        </is>
      </c>
      <c r="H146" t="inlineStr">
        <is>
          <t>2026-08-15</t>
        </is>
      </c>
      <c r="I146" t="inlineStr">
        <is>
          <t>TR5</t>
        </is>
      </c>
      <c r="J146" t="inlineStr">
        <is>
          <t>生产资料归档</t>
        </is>
      </c>
      <c r="K146" t="inlineStr">
        <is>
          <t>@肖庆阳</t>
        </is>
      </c>
      <c r="L146" t="inlineStr">
        <is>
          <t>2026-08-14</t>
        </is>
      </c>
      <c r="M146" t="inlineStr">
        <is>
          <t>2026-08-15</t>
        </is>
      </c>
      <c r="N146" t="n">
        <v>8</v>
      </c>
      <c r="O146">
        <f>任务计划表!K146</f>
        <v/>
      </c>
      <c r="P146">
        <f>IF(IF(任务计划表!L146="/",人员资源情况!$A$2,L146)&gt;M146,M146,(IF(任务计划表!L146="/",人员资源情况!$A$2,L146)))</f>
        <v/>
      </c>
      <c r="Q146">
        <f>IF(M146="/",人员资源情况!$B$2,任务计划表!M146)</f>
        <v/>
      </c>
      <c r="R146">
        <f>任务计划表!N146</f>
        <v/>
      </c>
      <c r="S146">
        <f>IF(O146=人员资源情况!C$2,1,0)</f>
        <v/>
      </c>
      <c r="T146">
        <f>IF(P146&gt;=人员资源情况!A$2,1,0)</f>
        <v/>
      </c>
      <c r="U146">
        <f>IF(Q146&lt;=人员资源情况!B$2,1,0)</f>
        <v/>
      </c>
      <c r="V146">
        <f>IF(T146*U146,Q146-P146,IF(T146&gt;U146,人员资源情况!B$2-P146,IF(T146&lt;U146,任务计划表!Q146-人员资源情况!A$2,0)))*R146*S146</f>
        <v/>
      </c>
      <c r="W146">
        <f>IF(V146&lt;0,0,V146)</f>
        <v/>
      </c>
    </row>
    <row r="147">
      <c r="E147" t="inlineStr"/>
      <c r="F147" t="inlineStr">
        <is>
          <t>巴勒斯坦超声户表二开</t>
        </is>
      </c>
      <c r="G147" t="inlineStr">
        <is>
          <t>2026-07-09</t>
        </is>
      </c>
      <c r="H147" t="inlineStr">
        <is>
          <t>2026-08-15</t>
        </is>
      </c>
      <c r="I147" t="inlineStr">
        <is>
          <t>TR5</t>
        </is>
      </c>
      <c r="J147" t="inlineStr">
        <is>
          <t>项目结项评审</t>
        </is>
      </c>
      <c r="K147" t="inlineStr">
        <is>
          <t>@毛文豪(80018842)</t>
        </is>
      </c>
      <c r="L147" t="inlineStr">
        <is>
          <t>2026-08-14</t>
        </is>
      </c>
      <c r="M147" t="inlineStr">
        <is>
          <t>2026-08-15</t>
        </is>
      </c>
      <c r="N147" t="n">
        <v>16</v>
      </c>
      <c r="O147">
        <f>任务计划表!K147</f>
        <v/>
      </c>
      <c r="P147">
        <f>IF(IF(任务计划表!L147="/",人员资源情况!$A$2,L147)&gt;M147,M147,(IF(任务计划表!L147="/",人员资源情况!$A$2,L147)))</f>
        <v/>
      </c>
      <c r="Q147">
        <f>IF(M147="/",人员资源情况!$B$2,任务计划表!M147)</f>
        <v/>
      </c>
      <c r="R147">
        <f>任务计划表!N147</f>
        <v/>
      </c>
      <c r="S147">
        <f>IF(O147=人员资源情况!C$2,1,0)</f>
        <v/>
      </c>
      <c r="T147">
        <f>IF(P147&gt;=人员资源情况!A$2,1,0)</f>
        <v/>
      </c>
      <c r="U147">
        <f>IF(Q147&lt;=人员资源情况!B$2,1,0)</f>
        <v/>
      </c>
      <c r="V147">
        <f>IF(T147*U147,Q147-P147,IF(T147&gt;U147,人员资源情况!B$2-P147,IF(T147&lt;U147,任务计划表!Q147-人员资源情况!A$2,0)))*R147*S147</f>
        <v/>
      </c>
      <c r="W147">
        <f>IF(V147&lt;0,0,V147)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2026-07-23T05:04:26.547234</t>
        </is>
      </c>
      <c r="C2" s="0" t="inlineStr">
        <is>
          <t>zky</t>
        </is>
      </c>
      <c r="D2" s="0" t="inlineStr">
        <is>
          <t>edit</t>
        </is>
      </c>
      <c r="E2" s="0" t="inlineStr">
        <is>
          <t>[52]</t>
        </is>
      </c>
      <c r="F2" s="0" t="inlineStr">
        <is>
          <t>["未知项目"]</t>
        </is>
      </c>
      <c r="G2" s="0" t="inlineStr">
        <is>
          <t>{"资源名称": "魏殷浩", "资源开始时间": "2026-07-07", "资源结束时间": "2026-07-10", "资源类型": "固件工程师-压力传感器学习", "日平均工时": 6}</t>
        </is>
      </c>
      <c r="H2" s="0" t="inlineStr">
        <is>
          <t>{"资源名称": "魏殷浩", "资源开始时间": "2026-07-07", "资源结束时间": "2026-07-10", "资源类型": "固件工程师-压力传感器学习", "日平均工时": 6.5}</t>
        </is>
      </c>
      <c r="I2" s="0" t="inlineStr">
        <is>
          <t>cancelled</t>
        </is>
      </c>
      <c r="J2" s="0" t="inlineStr"/>
      <c r="K2" s="0" t="inlineStr">
        <is>
          <t>zky</t>
        </is>
      </c>
      <c r="L2" s="0" t="inlineStr">
        <is>
          <t>2026-07-23T05:38:39.925367</t>
        </is>
      </c>
    </row>
    <row r="3">
      <c r="A3" s="0" t="inlineStr">
        <is>
          <t>OP-20260723-002</t>
        </is>
      </c>
      <c r="B3" s="0" t="inlineStr">
        <is>
          <t>2026-07-23T05:39:00.327534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[52]</t>
        </is>
      </c>
      <c r="F3" s="0" t="inlineStr">
        <is>
          <t>["沙特-NB水表"]</t>
        </is>
      </c>
      <c r="G3" s="0" t="inlineStr">
        <is>
          <t>{"资源名称": "魏殷浩", "资源开始时间": "2026-07-07", "资源结束时间": "2026-07-10", "资源类型": "固件工程师-压力传感器学习", "日平均工时": 6}</t>
        </is>
      </c>
      <c r="H3" s="0" t="inlineStr">
        <is>
          <t>{}</t>
        </is>
      </c>
      <c r="I3" s="0" t="inlineStr">
        <is>
          <t>rejected</t>
        </is>
      </c>
      <c r="J3" s="0" t="inlineStr"/>
      <c r="K3" s="0" t="inlineStr">
        <is>
          <t>xjq</t>
        </is>
      </c>
      <c r="L3" s="0" t="inlineStr">
        <is>
          <t>2026-07-23T05:39:54.123422</t>
        </is>
      </c>
    </row>
    <row r="4">
      <c r="A4" s="0" t="inlineStr">
        <is>
          <t>OP-20260723-003</t>
        </is>
      </c>
      <c r="B4" s="0" t="inlineStr">
        <is>
          <t>2026-07-23T05:42:51.422735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[52]</t>
        </is>
      </c>
      <c r="F4" s="0" t="inlineStr">
        <is>
          <t>["沙特-NB水表"]</t>
        </is>
      </c>
      <c r="G4" s="0" t="inlineStr">
        <is>
          <t>{"资源名称": "魏殷浩", "资源开始时间": "2026-07-07", "资源结束时间": "2026-07-10", "资源类型": "固件工程师-压力传感器学习", "日平均工时": 6}</t>
        </is>
      </c>
      <c r="H4" s="0" t="inlineStr">
        <is>
          <t>{}</t>
        </is>
      </c>
      <c r="I4" s="0" t="inlineStr">
        <is>
          <t>approved</t>
        </is>
      </c>
      <c r="J4" s="0" t="inlineStr"/>
      <c r="K4" s="0" t="inlineStr">
        <is>
          <t>yzz</t>
        </is>
      </c>
      <c r="L4" s="0" t="inlineStr">
        <is>
          <t>2026-07-23T05:43:42.717127</t>
        </is>
      </c>
    </row>
    <row r="5">
      <c r="A5" s="0" t="inlineStr">
        <is>
          <t>OP-20260723-004</t>
        </is>
      </c>
      <c r="B5" s="0" t="inlineStr">
        <is>
          <t>2026-07-23T05:46:16.318460</t>
        </is>
      </c>
      <c r="C5" s="0" t="inlineStr">
        <is>
          <t>lhl</t>
        </is>
      </c>
      <c r="D5" s="0" t="inlineStr">
        <is>
          <t>archive</t>
        </is>
      </c>
      <c r="E5" s="0" t="inlineStr">
        <is>
          <t>[52]</t>
        </is>
      </c>
      <c r="F5" s="0" t="inlineStr">
        <is>
          <t>["沙特-NB水表"]</t>
        </is>
      </c>
      <c r="G5" s="0" t="inlineStr">
        <is>
          <t>{}</t>
        </is>
      </c>
      <c r="H5" s="0" t="inlineStr">
        <is>
          <t>{}</t>
        </is>
      </c>
      <c r="I5" s="0" t="inlineStr">
        <is>
          <t>approved</t>
        </is>
      </c>
      <c r="J5" s="0" t="inlineStr"/>
      <c r="K5" s="0" t="inlineStr">
        <is>
          <t>xjq</t>
        </is>
      </c>
      <c r="L5" s="0" t="inlineStr">
        <is>
          <t>2026-07-23T05:49:22.824932</t>
        </is>
      </c>
    </row>
    <row r="6">
      <c r="A6" s="0" t="inlineStr">
        <is>
          <t>OP-20260723-005</t>
        </is>
      </c>
      <c r="B6" s="0" t="inlineStr">
        <is>
          <t>2026-07-23T05:47:09.332172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[54]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cancelled</t>
        </is>
      </c>
      <c r="J6" s="0" t="inlineStr"/>
      <c r="K6" s="0" t="inlineStr">
        <is>
          <t>zky</t>
        </is>
      </c>
      <c r="L6" s="0" t="inlineStr">
        <is>
          <t>2026-07-23T05:47:21.930135</t>
        </is>
      </c>
    </row>
    <row r="7">
      <c r="A7" s="0" t="inlineStr">
        <is>
          <t>OP-20260723-006</t>
        </is>
      </c>
      <c r="B7" s="0" t="inlineStr">
        <is>
          <t>2026-07-23T05:47:36.120064</t>
        </is>
      </c>
      <c r="C7" s="0" t="inlineStr">
        <is>
          <t>zky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rejected</t>
        </is>
      </c>
      <c r="J7" s="0" t="inlineStr"/>
      <c r="K7" s="0" t="inlineStr">
        <is>
          <t>xjq</t>
        </is>
      </c>
      <c r="L7" s="0" t="inlineStr">
        <is>
          <t>2026-07-23T05:49:04.228200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2026-07-23T05:56:05Z</dcterms:modified>
  <cp:lastModifiedBy>项家祺</cp:lastModifiedBy>
</cp:coreProperties>
</file>