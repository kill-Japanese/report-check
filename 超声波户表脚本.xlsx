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8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</row>
    <row r="218">
      <c r="E218" t="inlineStr">
        <is>
          <t>测试</t>
        </is>
      </c>
      <c r="F218" t="inlineStr">
        <is>
          <t>TEST demand</t>
        </is>
      </c>
      <c r="G218" t="inlineStr">
        <is>
          <t>1900-01-01</t>
        </is>
      </c>
      <c r="H218" t="inlineStr">
        <is>
          <t>2100-01-01</t>
        </is>
      </c>
      <c r="I218" t="inlineStr">
        <is>
          <t>2</t>
        </is>
      </c>
      <c r="J218" t="inlineStr">
        <is>
          <t>项目CHAT</t>
        </is>
      </c>
      <c r="K218" t="inlineStr">
        <is>
          <t>@项家祺(80004213)(项家祺)</t>
        </is>
      </c>
      <c r="L218" t="inlineStr">
        <is>
          <t>2026-07-25</t>
        </is>
      </c>
      <c r="M218" t="inlineStr">
        <is>
          <t>2026-07-25</t>
        </is>
      </c>
      <c r="N218" t="n">
        <v>8</v>
      </c>
      <c r="O218">
        <f>任务计划表!K218</f>
        <v/>
      </c>
      <c r="P218">
        <f>IF(IF(任务计划表!L218="/",人员资源情况!$A$2,L218)&gt;M218,M218,(IF(任务计划表!L218="/",人员资源情况!$A$2,L218)))</f>
        <v/>
      </c>
      <c r="Q218">
        <f>IF(M218="/",人员资源情况!$B$2,任务计划表!M218)</f>
        <v/>
      </c>
      <c r="R218">
        <f>任务计划表!N218</f>
        <v/>
      </c>
      <c r="S218">
        <f>IF(O218=人员资源情况!C$2,1,0)</f>
        <v/>
      </c>
      <c r="T218">
        <f>IF(P218&gt;=人员资源情况!A$2,1,0)</f>
        <v/>
      </c>
      <c r="U218">
        <f>IF(Q218&lt;=人员资源情况!B$2,1,0)</f>
        <v/>
      </c>
      <c r="V218">
        <f>IF(T218*U218,Q218-P218,IF(T218&gt;U218,人员资源情况!B$2-P218,IF(T218&lt;U218,任务计划表!Q218-人员资源情况!A$2,0)))*R218*S218</f>
        <v/>
      </c>
      <c r="W218">
        <f>IF(V218&lt;0,0,V218)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2026-07-25T07:16:45Z</dcterms:modified>
  <cp:lastModifiedBy>项家祺</cp:lastModifiedBy>
</cp:coreProperties>
</file>