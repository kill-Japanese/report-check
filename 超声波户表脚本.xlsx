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  <c r="X8" s="0" t="inlineStr">
        <is>
          <t>PENDING_EDIT</t>
        </is>
      </c>
      <c r="Y8" s="0" t="inlineStr">
        <is>
          <t>zgq|2026-08-04T08:11:11.917694</t>
        </is>
      </c>
      <c r="Z8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"2026-08-31", "日平均工时": 4}</t>
        </is>
      </c>
      <c r="AA8" s="0" t="inlineStr">
        <is>
          <t>edit</t>
        </is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  <c r="X10" s="0" t="inlineStr">
        <is>
          <t>PENDING_EDIT</t>
        </is>
      </c>
      <c r="Y10" s="0" t="inlineStr">
        <is>
          <t>zgq|2026-08-04T02:54:12.611383</t>
        </is>
      </c>
      <c r="Z10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"2026-08-31", "日平均工时": 4}</t>
        </is>
      </c>
      <c r="AA10" s="0" t="inlineStr">
        <is>
          <t>edit</t>
        </is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inlineStr">
        <is>
          <t>2026-08-31</t>
        </is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A154" s="0" t="inlineStr">
        <is>
          <t>已归档</t>
        </is>
      </c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贺敬轩</t>
        </is>
      </c>
      <c r="L155" s="0" t="inlineStr">
        <is>
          <t>2026-08-03</t>
        </is>
      </c>
      <c r="M155" s="0" t="inlineStr">
        <is>
          <t>2026-08-04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贺敬轩</t>
        </is>
      </c>
      <c r="L156" s="0" t="inlineStr">
        <is>
          <t>2026-08-05</t>
        </is>
      </c>
      <c r="M156" s="0" t="inlineStr">
        <is>
          <t>2026-08-11</t>
        </is>
      </c>
      <c r="N156" s="0" t="n">
        <v>5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2026-08-17</t>
        </is>
      </c>
      <c r="M157" s="0" t="inlineStr">
        <is>
          <t>2026-08-18</t>
        </is>
      </c>
      <c r="N157" s="0" t="n">
        <v>2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贺敬轩</t>
        </is>
      </c>
      <c r="L165" s="0" t="inlineStr">
        <is>
          <t>2026-08-13</t>
        </is>
      </c>
      <c r="M165" s="0" t="inlineStr">
        <is>
          <t>2026-08-17</t>
        </is>
      </c>
      <c r="N165" s="0" t="n">
        <v>6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A221" s="0" t="inlineStr">
        <is>
          <t>已归档</t>
        </is>
      </c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  <c r="X221" s="0" t="inlineStr"/>
      <c r="Y221" s="0" t="inlineStr"/>
      <c r="Z221" s="0" t="inlineStr"/>
      <c r="AA221" s="0" t="inlineStr"/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归档</t>
        </is>
      </c>
      <c r="K222" s="0" t="inlineStr">
        <is>
          <t>@袁知正</t>
        </is>
      </c>
      <c r="L222" s="0" t="inlineStr">
        <is>
          <t>2026-08-18</t>
        </is>
      </c>
      <c r="M222" s="0" t="inlineStr">
        <is>
          <t>2026-08-18</t>
        </is>
      </c>
      <c r="N222" s="0" t="n">
        <v>2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舒杰</t>
        </is>
      </c>
      <c r="L223" s="0" t="inlineStr">
        <is>
          <t>2026-07-27</t>
        </is>
      </c>
      <c r="M223" s="0" t="inlineStr">
        <is>
          <t>2026-08-09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/>
      <c r="Y223" s="0" t="inlineStr"/>
      <c r="Z223" s="0" t="inlineStr"/>
      <c r="AA223" s="0" t="inlineStr"/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舒杰</t>
        </is>
      </c>
      <c r="L224" s="0" t="inlineStr">
        <is>
          <t>2026-07-27</t>
        </is>
      </c>
      <c r="M224" s="0" t="inlineStr">
        <is>
          <t>2026-08-09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/>
      <c r="Y224" s="0" t="inlineStr"/>
      <c r="Z224" s="0" t="inlineStr"/>
      <c r="AA224" s="0" t="inlineStr"/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2026-08-06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2026-08-04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  <row r="244">
      <c r="E244" s="0" t="inlineStr">
        <is>
          <t>日常工作</t>
        </is>
      </c>
      <c r="F244" s="0" t="inlineStr">
        <is>
          <t>巴西V2.1测试</t>
        </is>
      </c>
      <c r="G244" s="0" t="inlineStr">
        <is>
          <t>1900-01-01</t>
        </is>
      </c>
      <c r="H244" s="0" t="inlineStr">
        <is>
          <t>2100-01-01</t>
        </is>
      </c>
      <c r="I244" s="0" t="inlineStr">
        <is>
          <t>V2.1修改项测试</t>
        </is>
      </c>
      <c r="J244" s="0" t="inlineStr">
        <is>
          <t>测试工程师</t>
        </is>
      </c>
      <c r="K244" s="0" t="inlineStr">
        <is>
          <t xml:space="preserve"> @曾颂豪</t>
        </is>
      </c>
      <c r="L244" s="0" t="inlineStr">
        <is>
          <t>2026-08-03</t>
        </is>
      </c>
      <c r="M244" s="0" t="inlineStr">
        <is>
          <t>2026-08-05</t>
        </is>
      </c>
      <c r="N244" s="0" t="n">
        <v>6</v>
      </c>
      <c r="O244" s="0">
        <f>任务计划表!K244</f>
        <v/>
      </c>
      <c r="P244" s="0">
        <f>IF(IF(任务计划表!L244="/",人员资源情况!$A$2,L244)&gt;M244,M244,(IF(任务计划表!L244="/",人员资源情况!$A$2,L244)))</f>
        <v/>
      </c>
      <c r="Q244" s="0">
        <f>IF(M244="/",人员资源情况!$B$2,任务计划表!M244)</f>
        <v/>
      </c>
      <c r="R244" s="0">
        <f>任务计划表!N244</f>
        <v/>
      </c>
      <c r="S244" s="0">
        <f>IF(O244=人员资源情况!C$2,1,0)</f>
        <v/>
      </c>
      <c r="T244" s="0">
        <f>IF(P244&gt;=人员资源情况!A$2,1,0)</f>
        <v/>
      </c>
      <c r="U244" s="0">
        <f>IF(Q244&lt;=人员资源情况!B$2,1,0)</f>
        <v/>
      </c>
      <c r="V244" s="0">
        <f>IF(T244*U244,Q244-P244,IF(T244&gt;U244,人员资源情况!B$2-P244,IF(T244&lt;U244,任务计划表!Q244-人员资源情况!A$2,0)))*R244*S244</f>
        <v/>
      </c>
      <c r="W244" s="0">
        <f>IF(V244&lt;0,0,V244)</f>
        <v/>
      </c>
    </row>
    <row r="245">
      <c r="B245" s="0" t="inlineStr">
        <is>
          <t>已删除</t>
        </is>
      </c>
      <c r="E245" s="0" t="inlineStr">
        <is>
          <t>测试看板</t>
        </is>
      </c>
      <c r="F245" s="0" t="inlineStr">
        <is>
          <t>TEST WEB</t>
        </is>
      </c>
      <c r="G245" s="0" t="inlineStr">
        <is>
          <t>1900-01-01</t>
        </is>
      </c>
      <c r="H245" s="0" t="inlineStr">
        <is>
          <t>2100-01-01</t>
        </is>
      </c>
      <c r="I245" s="0" t="inlineStr">
        <is>
          <t>新增</t>
        </is>
      </c>
      <c r="J245" s="0" t="inlineStr">
        <is>
          <t>项目经理</t>
        </is>
      </c>
      <c r="K245" s="0" t="inlineStr">
        <is>
          <t>@项家祺(80004213)(项家祺)</t>
        </is>
      </c>
      <c r="L245" s="0" t="inlineStr">
        <is>
          <t>2026-08-03</t>
        </is>
      </c>
      <c r="M245" s="0" t="inlineStr">
        <is>
          <t>2026-08-03</t>
        </is>
      </c>
      <c r="N245" s="0" t="n">
        <v>8</v>
      </c>
      <c r="O245" s="0">
        <f>任务计划表!K245</f>
        <v/>
      </c>
      <c r="P245" s="0">
        <f>IF(IF(任务计划表!L245="/",人员资源情况!$A$2,L245)&gt;M245,M245,(IF(任务计划表!L245="/",人员资源情况!$A$2,L245)))</f>
        <v/>
      </c>
      <c r="Q245" s="0">
        <f>IF(M245="/",人员资源情况!$B$2,任务计划表!M245)</f>
        <v/>
      </c>
      <c r="R245" s="0">
        <f>任务计划表!N245</f>
        <v/>
      </c>
      <c r="S245" s="0">
        <f>IF(O245=人员资源情况!C$2,1,0)</f>
        <v/>
      </c>
      <c r="T245" s="0">
        <f>IF(P245&gt;=人员资源情况!A$2,1,0)</f>
        <v/>
      </c>
      <c r="U245" s="0">
        <f>IF(Q245&lt;=人员资源情况!B$2,1,0)</f>
        <v/>
      </c>
      <c r="V245" s="0">
        <f>IF(T245*U245,Q245-P245,IF(T245&gt;U245,人员资源情况!B$2-P245,IF(T245&lt;U245,任务计划表!Q245-人员资源情况!A$2,0)))*R245*S245</f>
        <v/>
      </c>
      <c r="W245" s="0">
        <f>IF(V245&lt;0,0,V245)</f>
        <v/>
      </c>
    </row>
    <row r="246">
      <c r="B246" s="0" t="inlineStr">
        <is>
          <t>已删除</t>
        </is>
      </c>
      <c r="E246" s="0" t="inlineStr">
        <is>
          <t>测试看板</t>
        </is>
      </c>
      <c r="F246" s="0" t="inlineStr">
        <is>
          <t>TEST WEB</t>
        </is>
      </c>
      <c r="G246" s="0" t="inlineStr">
        <is>
          <t>1900-01-01</t>
        </is>
      </c>
      <c r="H246" s="0" t="inlineStr">
        <is>
          <t>2100-01-01</t>
        </is>
      </c>
      <c r="I246" s="0" t="inlineStr">
        <is>
          <t>新增</t>
        </is>
      </c>
      <c r="J246" s="0" t="inlineStr">
        <is>
          <t>SE设计</t>
        </is>
      </c>
      <c r="K246" s="0" t="inlineStr">
        <is>
          <t>@袁知正</t>
        </is>
      </c>
      <c r="L246" s="0" t="inlineStr">
        <is>
          <t>2026-08-03</t>
        </is>
      </c>
      <c r="M246" s="0" t="inlineStr">
        <is>
          <t>2026-08-03</t>
        </is>
      </c>
      <c r="N246" s="0" t="n">
        <v>8</v>
      </c>
      <c r="O246" s="0">
        <f>任务计划表!K246</f>
        <v/>
      </c>
      <c r="P246" s="0">
        <f>IF(IF(任务计划表!L246="/",人员资源情况!$A$2,L246)&gt;M246,M246,(IF(任务计划表!L246="/",人员资源情况!$A$2,L246)))</f>
        <v/>
      </c>
      <c r="Q246" s="0">
        <f>IF(M246="/",人员资源情况!$B$2,任务计划表!M246)</f>
        <v/>
      </c>
      <c r="R246" s="0">
        <f>任务计划表!N246</f>
        <v/>
      </c>
      <c r="S246" s="0">
        <f>IF(O246=人员资源情况!C$2,1,0)</f>
        <v/>
      </c>
      <c r="T246" s="0">
        <f>IF(P246&gt;=人员资源情况!A$2,1,0)</f>
        <v/>
      </c>
      <c r="U246" s="0">
        <f>IF(Q246&lt;=人员资源情况!B$2,1,0)</f>
        <v/>
      </c>
      <c r="V246" s="0">
        <f>IF(T246*U246,Q246-P246,IF(T246&gt;U246,人员资源情况!B$2-P246,IF(T246&lt;U246,任务计划表!Q246-人员资源情况!A$2,0)))*R246*S246</f>
        <v/>
      </c>
      <c r="W246" s="0">
        <f>IF(V246&lt;0,0,V246)</f>
        <v/>
      </c>
    </row>
    <row r="247">
      <c r="B247" s="0" t="inlineStr">
        <is>
          <t>已删除</t>
        </is>
      </c>
      <c r="E247" s="0" t="inlineStr">
        <is>
          <t>测试看板</t>
        </is>
      </c>
      <c r="F247" s="0" t="inlineStr">
        <is>
          <t>TEST WEB</t>
        </is>
      </c>
      <c r="G247" s="0" t="inlineStr">
        <is>
          <t>1900-01-01</t>
        </is>
      </c>
      <c r="H247" s="0" t="inlineStr">
        <is>
          <t>2100-01-01</t>
        </is>
      </c>
      <c r="I247" s="0" t="inlineStr">
        <is>
          <t>新增</t>
        </is>
      </c>
      <c r="J247" s="0" t="inlineStr">
        <is>
          <t>测试工程师</t>
        </is>
      </c>
      <c r="K247" s="0" t="inlineStr">
        <is>
          <t>@贾峰</t>
        </is>
      </c>
      <c r="L247" s="0" t="inlineStr">
        <is>
          <t>2026-08-03</t>
        </is>
      </c>
      <c r="M247" s="0" t="inlineStr">
        <is>
          <t>2026-08-03</t>
        </is>
      </c>
      <c r="N247" s="0" t="n">
        <v>8</v>
      </c>
      <c r="O247" s="0">
        <f>任务计划表!K247</f>
        <v/>
      </c>
      <c r="P247" s="0">
        <f>IF(IF(任务计划表!L247="/",人员资源情况!$A$2,L247)&gt;M247,M247,(IF(任务计划表!L247="/",人员资源情况!$A$2,L247)))</f>
        <v/>
      </c>
      <c r="Q247" s="0">
        <f>IF(M247="/",人员资源情况!$B$2,任务计划表!M247)</f>
        <v/>
      </c>
      <c r="R247" s="0">
        <f>任务计划表!N247</f>
        <v/>
      </c>
      <c r="S247" s="0">
        <f>IF(O247=人员资源情况!C$2,1,0)</f>
        <v/>
      </c>
      <c r="T247" s="0">
        <f>IF(P247&gt;=人员资源情况!A$2,1,0)</f>
        <v/>
      </c>
      <c r="U247" s="0">
        <f>IF(Q247&lt;=人员资源情况!B$2,1,0)</f>
        <v/>
      </c>
      <c r="V247" s="0">
        <f>IF(T247*U247,Q247-P247,IF(T247&gt;U247,人员资源情况!B$2-P247,IF(T247&lt;U247,任务计划表!Q247-人员资源情况!A$2,0)))*R247*S247</f>
        <v/>
      </c>
      <c r="W247" s="0">
        <f>IF(V247&lt;0,0,V247)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approved</t>
        </is>
      </c>
      <c r="J78" s="0" t="inlineStr"/>
      <c r="K78" s="0" t="inlineStr">
        <is>
          <t>tjs</t>
        </is>
      </c>
      <c r="L78" s="0" t="inlineStr">
        <is>
          <t>2026-08-03T02:30:00.390230</t>
        </is>
      </c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approved</t>
        </is>
      </c>
      <c r="J79" s="0" t="inlineStr"/>
      <c r="K79" s="0" t="inlineStr">
        <is>
          <t>tjs</t>
        </is>
      </c>
      <c r="L79" s="0" t="inlineStr">
        <is>
          <t>2026-08-03T02:30:50.188229</t>
        </is>
      </c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  <row r="83">
      <c r="A83" s="0" t="inlineStr">
        <is>
          <t>OP-20260803-009</t>
        </is>
      </c>
      <c r="B83" s="0" t="inlineStr">
        <is>
          <t>2026-08-03T02:36:13.088372</t>
        </is>
      </c>
      <c r="C83" s="0" t="inlineStr">
        <is>
          <t>xjq</t>
        </is>
      </c>
      <c r="D83" s="0" t="inlineStr">
        <is>
          <t>requirement_submit</t>
        </is>
      </c>
      <c r="E83" s="0" t="inlineStr">
        <is>
          <t>[]</t>
        </is>
      </c>
      <c r="F83" s="0" t="inlineStr">
        <is>
          <t>["测试需求"]</t>
        </is>
      </c>
      <c r="G83" s="0" t="inlineStr">
        <is>
          <t>{}</t>
        </is>
      </c>
      <c r="H83" s="0" t="inlineStr">
        <is>
          <t>{"status": "submitted"}</t>
        </is>
      </c>
      <c r="I83" s="0" t="inlineStr">
        <is>
          <t>direct</t>
        </is>
      </c>
      <c r="J83" s="0" t="inlineStr"/>
      <c r="K83" s="0" t="inlineStr"/>
      <c r="L83" s="0" t="inlineStr"/>
    </row>
    <row r="84">
      <c r="A84" s="0" t="inlineStr">
        <is>
          <t>OP-20260803-010</t>
        </is>
      </c>
      <c r="B84" s="0" t="inlineStr">
        <is>
          <t>2026-08-03T02:36:50.989288</t>
        </is>
      </c>
      <c r="C84" s="0" t="inlineStr">
        <is>
          <t>xjq</t>
        </is>
      </c>
      <c r="D84" s="0" t="inlineStr">
        <is>
          <t>requirement_delete</t>
        </is>
      </c>
      <c r="E84" s="0" t="inlineStr">
        <is>
          <t>[]</t>
        </is>
      </c>
      <c r="F84" s="0" t="inlineStr">
        <is>
          <t>["[已删除]"]</t>
        </is>
      </c>
      <c r="G84" s="0" t="inlineStr">
        <is>
          <t>{"status": "submitted"}</t>
        </is>
      </c>
      <c r="H84" s="0" t="inlineStr">
        <is>
          <t>{"status": "deleted"}</t>
        </is>
      </c>
      <c r="I84" s="0" t="inlineStr">
        <is>
          <t>direct</t>
        </is>
      </c>
      <c r="J84" s="0" t="inlineStr"/>
      <c r="K84" s="0" t="inlineStr"/>
      <c r="L84" s="0" t="inlineStr"/>
    </row>
    <row r="85">
      <c r="A85" s="0" t="inlineStr">
        <is>
          <t>OP-20260803-011</t>
        </is>
      </c>
      <c r="B85" s="0" t="inlineStr">
        <is>
          <t>2026-08-03T03:06:28.288723</t>
        </is>
      </c>
      <c r="C85" s="0" t="inlineStr">
        <is>
          <t>dajinyu</t>
        </is>
      </c>
      <c r="D85" s="0" t="inlineStr">
        <is>
          <t>archive</t>
        </is>
      </c>
      <c r="E85" s="0" t="inlineStr">
        <is>
          <t>[220]</t>
        </is>
      </c>
      <c r="F85" s="0" t="inlineStr">
        <is>
          <t>["EEPROM驱动协助"]</t>
        </is>
      </c>
      <c r="G85" s="0" t="inlineStr">
        <is>
          <t>{"部门": "日常工作", "项目": "EEPROM驱动协助", "项目描述": "新增", "资源类型": "固件工程师", "资源名称": "答金雨", "资源开始时间": "2026-07-28", "资源结束时间": "2026-07-31", "日平均工时": 1}</t>
        </is>
      </c>
      <c r="H85" s="0" t="inlineStr">
        <is>
          <t>{}</t>
        </is>
      </c>
      <c r="I85" s="0" t="inlineStr">
        <is>
          <t>approved</t>
        </is>
      </c>
      <c r="J85" s="0" t="inlineStr"/>
      <c r="K85" s="0" t="inlineStr">
        <is>
          <t>xjq</t>
        </is>
      </c>
      <c r="L85" s="0" t="inlineStr">
        <is>
          <t>2026-08-03T03:14:39.884295</t>
        </is>
      </c>
    </row>
    <row r="86">
      <c r="A86" s="0" t="inlineStr">
        <is>
          <t>OP-20260803-012</t>
        </is>
      </c>
      <c r="B86" s="0" t="inlineStr">
        <is>
          <t>2026-08-03T06:19:51.587415</t>
        </is>
      </c>
      <c r="C86" s="0" t="inlineStr">
        <is>
          <t>system</t>
        </is>
      </c>
      <c r="D86" s="0" t="inlineStr">
        <is>
          <t>requirement_auto_archive</t>
        </is>
      </c>
      <c r="E86" s="0" t="inlineStr">
        <is>
          <t>[]</t>
        </is>
      </c>
      <c r="F86" s="0" t="inlineStr">
        <is>
          <t>["测试需求看板"]</t>
        </is>
      </c>
      <c r="G86" s="0" t="inlineStr">
        <is>
          <t>{"status": "accepted"}</t>
        </is>
      </c>
      <c r="H86" s="0" t="inlineStr">
        <is>
          <t>{"status": "archived", "原因": "3天未确认"}</t>
        </is>
      </c>
      <c r="I86" s="0" t="inlineStr">
        <is>
          <t>direct</t>
        </is>
      </c>
      <c r="J86" s="0" t="inlineStr"/>
      <c r="K86" s="0" t="inlineStr"/>
      <c r="L86" s="0" t="inlineStr"/>
    </row>
    <row r="87">
      <c r="A87" s="0" t="inlineStr">
        <is>
          <t>OP-20260803-013</t>
        </is>
      </c>
      <c r="B87" s="0" t="inlineStr">
        <is>
          <t>2026-08-03T07:04:05.422850</t>
        </is>
      </c>
      <c r="C87" s="0" t="inlineStr">
        <is>
          <t>system</t>
        </is>
      </c>
      <c r="D87" s="0" t="inlineStr">
        <is>
          <t>requirement_auto_archive</t>
        </is>
      </c>
      <c r="E87" s="0" t="inlineStr">
        <is>
          <t>[]</t>
        </is>
      </c>
      <c r="F87" s="0" t="inlineStr">
        <is>
          <t>["测试需求看板"]</t>
        </is>
      </c>
      <c r="G87" s="0" t="inlineStr">
        <is>
          <t>{"status": "accepted"}</t>
        </is>
      </c>
      <c r="H87" s="0" t="inlineStr">
        <is>
          <t>{"status": "archived", "原因": "3天未确认"}</t>
        </is>
      </c>
      <c r="I87" s="0" t="inlineStr">
        <is>
          <t>direct</t>
        </is>
      </c>
      <c r="J87" s="0" t="inlineStr"/>
      <c r="K87" s="0" t="inlineStr"/>
      <c r="L87" s="0" t="inlineStr"/>
    </row>
    <row r="88">
      <c r="A88" s="0" t="inlineStr">
        <is>
          <t>OP-20260804-001</t>
        </is>
      </c>
      <c r="B88" s="0" t="inlineStr">
        <is>
          <t>2026-08-04T02:54:13.816020</t>
        </is>
      </c>
      <c r="C88" s="0" t="inlineStr">
        <is>
          <t>zgq</t>
        </is>
      </c>
      <c r="D88" s="0" t="inlineStr">
        <is>
          <t>edit</t>
        </is>
      </c>
      <c r="E88" s="0" t="inlineStr">
        <is>
          <t>[9]</t>
        </is>
      </c>
      <c r="F88" s="0" t="inlineStr">
        <is>
          <t>["巴西NB-V3.1预研"]</t>
        </is>
      </c>
      <c r="G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"2026-08-07", "日平均工时": 4}</t>
        </is>
      </c>
      <c r="H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"2026-08-31", "日平均工时": 4}</t>
        </is>
      </c>
      <c r="I88" s="0" t="inlineStr">
        <is>
          <t>pending</t>
        </is>
      </c>
      <c r="J88" s="0" t="inlineStr"/>
      <c r="K88" s="0" t="inlineStr"/>
      <c r="L88" s="0" t="inlineStr"/>
    </row>
    <row r="89">
      <c r="A89" s="0" t="inlineStr">
        <is>
          <t>OP-20260804-002</t>
        </is>
      </c>
      <c r="B89" s="0" t="inlineStr">
        <is>
          <t>2026-08-04T08:11:13.518964</t>
        </is>
      </c>
      <c r="C89" s="0" t="inlineStr">
        <is>
          <t>zgq</t>
        </is>
      </c>
      <c r="D89" s="0" t="inlineStr">
        <is>
          <t>edit</t>
        </is>
      </c>
      <c r="E89" s="0" t="inlineStr">
        <is>
          <t>[7]</t>
        </is>
      </c>
      <c r="F89" s="0" t="inlineStr">
        <is>
          <t>["巴西NB-V3"]</t>
        </is>
      </c>
      <c r="G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"2026-08-05", "日平均工时": 4}</t>
        </is>
      </c>
      <c r="H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"2026-08-31", "日平均工时": 4}</t>
        </is>
      </c>
      <c r="I89" s="0" t="inlineStr">
        <is>
          <t>pending</t>
        </is>
      </c>
      <c r="J89" s="0" t="inlineStr"/>
      <c r="K89" s="0" t="inlineStr"/>
      <c r="L89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2026-08-05T00:35:39Z</dcterms:modified>
  <cp:lastModifiedBy>项家祺</cp:lastModifiedBy>
</cp:coreProperties>
</file>