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4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>张国庆</t>
        </is>
      </c>
      <c r="L8" s="22" t="inlineStr">
        <is>
          <t>2026-07-28</t>
        </is>
      </c>
      <c r="M8" s="20" t="inlineStr">
        <is>
          <t>2026-08-05</t>
        </is>
      </c>
      <c r="N8" s="33" t="n">
        <v>4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inlineStr">
        <is>
          <t>2026-08-03</t>
        </is>
      </c>
      <c r="M10" s="20" t="inlineStr">
        <is>
          <t>2026-08-07</t>
        </is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2026-08-03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0" t="inlineStr">
        <is>
          <t>拉美</t>
        </is>
      </c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0" t="inlineStr">
        <is>
          <t>拉美</t>
        </is>
      </c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0" t="inlineStr">
        <is>
          <t>拉美</t>
        </is>
      </c>
      <c r="F29" s="0" t="inlineStr">
        <is>
          <t>墨西哥MIAA</t>
        </is>
      </c>
      <c r="G29" s="32" t="n"/>
      <c r="H29" s="32" t="n"/>
      <c r="I29" s="54" t="inlineStr">
        <is>
          <t>TR4A-测试阶段</t>
        </is>
      </c>
      <c r="J29" s="19" t="inlineStr">
        <is>
          <t>第二轮测试</t>
        </is>
      </c>
      <c r="K29" s="17" t="inlineStr">
        <is>
          <t>危才文</t>
        </is>
      </c>
      <c r="L29" s="32" t="inlineStr">
        <is>
          <t>2026-07-30</t>
        </is>
      </c>
      <c r="M29" s="19" t="inlineStr">
        <is>
          <t>2026-08-03</t>
        </is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  <c r="X29" s="0" t="inlineStr"/>
      <c r="Y29" s="0" t="inlineStr"/>
      <c r="Z29" s="0" t="inlineStr"/>
      <c r="AA29" s="0" t="inlineStr"/>
    </row>
    <row r="30" ht="14.25" customHeight="1" s="81">
      <c r="B30" s="0" t="inlineStr">
        <is>
          <t>已删除</t>
        </is>
      </c>
      <c r="E30" s="0" t="inlineStr">
        <is>
          <t>拉美</t>
        </is>
      </c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0" t="inlineStr">
        <is>
          <t>拉美</t>
        </is>
      </c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0" t="inlineStr">
        <is>
          <t>拉美</t>
        </is>
      </c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同步修复墨西哥MIAA问题</t>
        </is>
      </c>
      <c r="K33" s="17" t="inlineStr">
        <is>
          <t>危才文</t>
        </is>
      </c>
      <c r="L33" s="32" t="inlineStr">
        <is>
          <t>2026-07-30</t>
        </is>
      </c>
      <c r="M33" s="19" t="inlineStr">
        <is>
          <t>2026-07-30</t>
        </is>
      </c>
      <c r="N33" s="79" t="n">
        <v>2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A65" s="0" t="inlineStr">
        <is>
          <t>已归档</t>
        </is>
      </c>
      <c r="E65" s="0" t="inlineStr">
        <is>
          <t>人员梯队建设</t>
        </is>
      </c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0" t="inlineStr">
        <is>
          <t>人员梯队建设</t>
        </is>
      </c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A67" s="0" t="inlineStr">
        <is>
          <t>已归档</t>
        </is>
      </c>
      <c r="E67" s="0" t="inlineStr">
        <is>
          <t>人员梯队建设</t>
        </is>
      </c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0" t="inlineStr">
        <is>
          <t>人员梯队建设</t>
        </is>
      </c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0" t="inlineStr">
        <is>
          <t>人员梯队建设</t>
        </is>
      </c>
      <c r="F69" s="0" t="inlineStr">
        <is>
          <t>日常工作</t>
        </is>
      </c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0" t="inlineStr">
        <is>
          <t>人员梯队建设</t>
        </is>
      </c>
      <c r="F70" s="0" t="inlineStr">
        <is>
          <t>日常工作</t>
        </is>
      </c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0" t="inlineStr">
        <is>
          <t>人员梯队建设</t>
        </is>
      </c>
      <c r="F71" s="0" t="inlineStr">
        <is>
          <t>日常工作</t>
        </is>
      </c>
      <c r="G71" s="66" t="n"/>
      <c r="H71" s="66" t="n"/>
      <c r="I71" s="66" t="inlineStr"/>
      <c r="J71" s="66" t="inlineStr">
        <is>
          <t>HFP-代码架构学习</t>
        </is>
      </c>
      <c r="K71" s="17" t="inlineStr">
        <is>
          <t>魏殷浩</t>
        </is>
      </c>
      <c r="L71" s="19" t="inlineStr">
        <is>
          <t>2026-07-20</t>
        </is>
      </c>
      <c r="M71" s="27" t="inlineStr">
        <is>
          <t>2026-12-20</t>
        </is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  <c r="X71" s="0" t="inlineStr"/>
      <c r="Y71" s="0" t="inlineStr"/>
      <c r="Z71" s="0" t="inlineStr"/>
      <c r="AA71" s="0" t="inlineStr"/>
    </row>
    <row r="72" ht="14.25" customHeight="1" s="81">
      <c r="E72" s="0" t="inlineStr">
        <is>
          <t>人员梯队建设</t>
        </is>
      </c>
      <c r="F72" s="0" t="inlineStr">
        <is>
          <t>日常工作</t>
        </is>
      </c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inlineStr"/>
      <c r="J73" s="32" t="inlineStr">
        <is>
          <t>泽联售后维护工具</t>
        </is>
      </c>
      <c r="K73" s="17" t="inlineStr">
        <is>
          <t>魏殷浩</t>
        </is>
      </c>
      <c r="L73" s="19" t="inlineStr">
        <is>
          <t>2026-08-20</t>
        </is>
      </c>
      <c r="M73" s="27" t="inlineStr">
        <is>
          <t>2026-10-15</t>
        </is>
      </c>
      <c r="N73" s="33" t="n">
        <v>3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  <c r="X73" s="0" t="inlineStr"/>
      <c r="Y73" s="0" t="inlineStr"/>
      <c r="Z73" s="0" t="inlineStr"/>
      <c r="AA73" s="0" t="inlineStr"/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毛文豪</t>
        </is>
      </c>
      <c r="L151" s="0" t="inlineStr">
        <is>
          <t>2026-07-23</t>
        </is>
      </c>
      <c r="M151" s="0" t="inlineStr">
        <is>
          <t>2026-07-31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  <c r="X151" s="0" t="inlineStr"/>
      <c r="Y151" s="0" t="inlineStr"/>
      <c r="Z151" s="0" t="inlineStr"/>
      <c r="AA151" s="0" t="inlineStr"/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毛文豪</t>
        </is>
      </c>
      <c r="L152" s="0" t="inlineStr">
        <is>
          <t>2026-07-27</t>
        </is>
      </c>
      <c r="M152" s="0" t="inlineStr">
        <is>
          <t>2026-07-31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  <c r="X152" s="0" t="inlineStr"/>
      <c r="Y152" s="0" t="inlineStr"/>
      <c r="Z152" s="0" t="inlineStr"/>
      <c r="AA152" s="0" t="inlineStr"/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B220" s="0" t="inlineStr">
        <is>
          <t>已删除</t>
        </is>
      </c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  <row r="221">
      <c r="E221" s="0" t="inlineStr">
        <is>
          <t>日常工作</t>
        </is>
      </c>
      <c r="F221" s="0" t="inlineStr">
        <is>
          <t>EEPROM驱动协助</t>
        </is>
      </c>
      <c r="G221" s="0" t="inlineStr">
        <is>
          <t>1900-01-01</t>
        </is>
      </c>
      <c r="H221" s="0" t="inlineStr">
        <is>
          <t>2100-01-01</t>
        </is>
      </c>
      <c r="I221" s="0" t="inlineStr">
        <is>
          <t>新增</t>
        </is>
      </c>
      <c r="J221" s="0" t="inlineStr">
        <is>
          <t>固件工程师</t>
        </is>
      </c>
      <c r="K221" s="0" t="inlineStr">
        <is>
          <t>@答金雨(80016793)</t>
        </is>
      </c>
      <c r="L221" s="0" t="inlineStr">
        <is>
          <t>2026-07-28</t>
        </is>
      </c>
      <c r="M221" s="0" t="inlineStr">
        <is>
          <t>2026-07-31</t>
        </is>
      </c>
      <c r="N221" s="0" t="n">
        <v>1</v>
      </c>
      <c r="O221" s="0">
        <f>任务计划表!K221</f>
        <v/>
      </c>
      <c r="P221" s="0">
        <f>IF(IF(任务计划表!L221="/",人员资源情况!$A$2,L221)&gt;M221,M221,(IF(任务计划表!L221="/",人员资源情况!$A$2,L221)))</f>
        <v/>
      </c>
      <c r="Q221" s="0">
        <f>IF(M221="/",人员资源情况!$B$2,任务计划表!M221)</f>
        <v/>
      </c>
      <c r="R221" s="0">
        <f>任务计划表!N221</f>
        <v/>
      </c>
      <c r="S221" s="0">
        <f>IF(O221=人员资源情况!C$2,1,0)</f>
        <v/>
      </c>
      <c r="T221" s="0">
        <f>IF(P221&gt;=人员资源情况!A$2,1,0)</f>
        <v/>
      </c>
      <c r="U221" s="0">
        <f>IF(Q221&lt;=人员资源情况!B$2,1,0)</f>
        <v/>
      </c>
      <c r="V221" s="0">
        <f>IF(T221*U221,Q221-P221,IF(T221&gt;U221,人员资源情况!B$2-P221,IF(T221&lt;U221,任务计划表!Q221-人员资源情况!A$2,0)))*R221*S221</f>
        <v/>
      </c>
      <c r="W221" s="0">
        <f>IF(V221&lt;0,0,V221)</f>
        <v/>
      </c>
    </row>
    <row r="222">
      <c r="E222" s="0" t="inlineStr">
        <is>
          <t>亚洲</t>
        </is>
      </c>
      <c r="F222" s="0" t="inlineStr">
        <is>
          <t>巴勒斯坦超声户表二开</t>
        </is>
      </c>
      <c r="G222" s="0" t="inlineStr">
        <is>
          <t>1900-01-01</t>
        </is>
      </c>
      <c r="H222" s="0" t="inlineStr">
        <is>
          <t>2100-01-01</t>
        </is>
      </c>
      <c r="I222" s="0" t="inlineStr">
        <is>
          <t>TR4A</t>
        </is>
      </c>
      <c r="J222" s="0" t="inlineStr">
        <is>
          <t>测试工程师</t>
        </is>
      </c>
      <c r="K222" s="0" t="inlineStr">
        <is>
          <t>@袁知正</t>
        </is>
      </c>
      <c r="L222" s="0" t="inlineStr">
        <is>
          <t>2026-08-17</t>
        </is>
      </c>
      <c r="M222" s="0" t="inlineStr">
        <is>
          <t>2026-08-20</t>
        </is>
      </c>
      <c r="N222" s="0" t="n">
        <v>8</v>
      </c>
      <c r="O222" s="0">
        <f>任务计划表!K222</f>
        <v/>
      </c>
      <c r="P222" s="0">
        <f>IF(IF(任务计划表!L222="/",人员资源情况!$A$2,L222)&gt;M222,M222,(IF(任务计划表!L222="/",人员资源情况!$A$2,L222)))</f>
        <v/>
      </c>
      <c r="Q222" s="0">
        <f>IF(M222="/",人员资源情况!$B$2,任务计划表!M222)</f>
        <v/>
      </c>
      <c r="R222" s="0">
        <f>任务计划表!N222</f>
        <v/>
      </c>
      <c r="S222" s="0">
        <f>IF(O222=人员资源情况!C$2,1,0)</f>
        <v/>
      </c>
      <c r="T222" s="0">
        <f>IF(P222&gt;=人员资源情况!A$2,1,0)</f>
        <v/>
      </c>
      <c r="U222" s="0">
        <f>IF(Q222&lt;=人员资源情况!B$2,1,0)</f>
        <v/>
      </c>
      <c r="V222" s="0">
        <f>IF(T222*U222,Q222-P222,IF(T222&gt;U222,人员资源情况!B$2-P222,IF(T222&lt;U222,任务计划表!Q222-人员资源情况!A$2,0)))*R222*S222</f>
        <v/>
      </c>
      <c r="W222" s="0">
        <f>IF(V222&lt;0,0,V222)</f>
        <v/>
      </c>
    </row>
    <row r="223">
      <c r="E223" s="0" t="inlineStr">
        <is>
          <t>日常工作</t>
        </is>
      </c>
      <c r="F223" s="0" t="inlineStr">
        <is>
          <t>蓝牙工装</t>
        </is>
      </c>
      <c r="G223" s="0" t="inlineStr">
        <is>
          <t>2026-07-27</t>
        </is>
      </c>
      <c r="H223" s="0" t="inlineStr">
        <is>
          <t>2026-07-31</t>
        </is>
      </c>
      <c r="I223" s="0" t="inlineStr">
        <is>
          <t>1.蓝牙转红外 2.typec转红外 3.有两个按键蓝牙选用公司华普微的2051901870 4.带flash（标准32M） 5.带充电电池（可跳线不使用充电电池）</t>
        </is>
      </c>
      <c r="J223" s="0" t="inlineStr">
        <is>
          <t>硬件工程师</t>
        </is>
      </c>
      <c r="K223" s="0" t="inlineStr">
        <is>
          <t>@舒杰(80018942)</t>
        </is>
      </c>
      <c r="L223" s="0" t="inlineStr">
        <is>
          <t>2026-07-27</t>
        </is>
      </c>
      <c r="M223" s="0" t="inlineStr">
        <is>
          <t>2026-07-31</t>
        </is>
      </c>
      <c r="N223" s="0" t="n">
        <v>4</v>
      </c>
      <c r="O223" s="0">
        <f>任务计划表!K223</f>
        <v/>
      </c>
      <c r="P223" s="0">
        <f>IF(IF(任务计划表!L223="/",人员资源情况!$A$2,L223)&gt;M223,M223,(IF(任务计划表!L223="/",人员资源情况!$A$2,L223)))</f>
        <v/>
      </c>
      <c r="Q223" s="0">
        <f>IF(M223="/",人员资源情况!$B$2,任务计划表!M223)</f>
        <v/>
      </c>
      <c r="R223" s="0">
        <f>任务计划表!N223</f>
        <v/>
      </c>
      <c r="S223" s="0">
        <f>IF(O223=人员资源情况!C$2,1,0)</f>
        <v/>
      </c>
      <c r="T223" s="0">
        <f>IF(P223&gt;=人员资源情况!A$2,1,0)</f>
        <v/>
      </c>
      <c r="U223" s="0">
        <f>IF(Q223&lt;=人员资源情况!B$2,1,0)</f>
        <v/>
      </c>
      <c r="V223" s="0">
        <f>IF(T223*U223,Q223-P223,IF(T223&gt;U223,人员资源情况!B$2-P223,IF(T223&lt;U223,任务计划表!Q223-人员资源情况!A$2,0)))*R223*S223</f>
        <v/>
      </c>
      <c r="W223" s="0">
        <f>IF(V223&lt;0,0,V223)</f>
        <v/>
      </c>
    </row>
    <row r="224">
      <c r="E224" s="0" t="inlineStr">
        <is>
          <t>日常工作</t>
        </is>
      </c>
      <c r="F224" s="0" t="inlineStr">
        <is>
          <t>物料替换</t>
        </is>
      </c>
      <c r="G224" s="0" t="inlineStr">
        <is>
          <t>2026-07-27</t>
        </is>
      </c>
      <c r="H224" s="0" t="inlineStr">
        <is>
          <t>2026-07-31</t>
        </is>
      </c>
      <c r="I224" s="0" t="inlineStr">
        <is>
          <t>光耦替代料测试</t>
        </is>
      </c>
      <c r="J224" s="0" t="inlineStr">
        <is>
          <t>硬件工程师</t>
        </is>
      </c>
      <c r="K224" s="0" t="inlineStr">
        <is>
          <t>@舒杰(80018942)</t>
        </is>
      </c>
      <c r="L224" s="0" t="inlineStr">
        <is>
          <t>2026-07-27</t>
        </is>
      </c>
      <c r="M224" s="0" t="inlineStr">
        <is>
          <t>2026-07-31</t>
        </is>
      </c>
      <c r="N224" s="0" t="n">
        <v>2</v>
      </c>
      <c r="O224" s="0">
        <f>任务计划表!K224</f>
        <v/>
      </c>
      <c r="P224" s="0">
        <f>IF(IF(任务计划表!L224="/",人员资源情况!$A$2,L224)&gt;M224,M224,(IF(任务计划表!L224="/",人员资源情况!$A$2,L224)))</f>
        <v/>
      </c>
      <c r="Q224" s="0">
        <f>IF(M224="/",人员资源情况!$B$2,任务计划表!M224)</f>
        <v/>
      </c>
      <c r="R224" s="0">
        <f>任务计划表!N224</f>
        <v/>
      </c>
      <c r="S224" s="0">
        <f>IF(O224=人员资源情况!C$2,1,0)</f>
        <v/>
      </c>
      <c r="T224" s="0">
        <f>IF(P224&gt;=人员资源情况!A$2,1,0)</f>
        <v/>
      </c>
      <c r="U224" s="0">
        <f>IF(Q224&lt;=人员资源情况!B$2,1,0)</f>
        <v/>
      </c>
      <c r="V224" s="0">
        <f>IF(T224*U224,Q224-P224,IF(T224&gt;U224,人员资源情况!B$2-P224,IF(T224&lt;U224,任务计划表!Q224-人员资源情况!A$2,0)))*R224*S224</f>
        <v/>
      </c>
      <c r="W224" s="0">
        <f>IF(V224&lt;0,0,V224)</f>
        <v/>
      </c>
    </row>
  </sheetData>
  <autoFilter ref="K1:K1047096"/>
  <mergeCells count="21">
    <mergeCell ref="E56:E61"/>
    <mergeCell ref="F36:F46"/>
    <mergeCell ref="F4:F9"/>
    <mergeCell ref="H4:H9"/>
    <mergeCell ref="E73:E74"/>
    <mergeCell ref="I62:I63"/>
    <mergeCell ref="E47:E51"/>
    <mergeCell ref="F31:F32"/>
    <mergeCell ref="F62:F63"/>
    <mergeCell ref="F17:F24"/>
    <mergeCell ref="E33:E46"/>
    <mergeCell ref="F47:F50"/>
    <mergeCell ref="I64:I67"/>
    <mergeCell ref="F56:F61"/>
    <mergeCell ref="E62:E63"/>
    <mergeCell ref="G4:G9"/>
    <mergeCell ref="I56:I58"/>
    <mergeCell ref="I4:I9"/>
    <mergeCell ref="F64:F67"/>
    <mergeCell ref="J2:N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2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  <row r="49">
      <c r="A49" s="0" t="inlineStr">
        <is>
          <t>OP-20260728-005</t>
        </is>
      </c>
      <c r="B49" s="0" t="inlineStr">
        <is>
          <t>2026-07-28T08:55:50.776883</t>
        </is>
      </c>
      <c r="C49" s="0" t="inlineStr">
        <is>
          <t>yjx</t>
        </is>
      </c>
      <c r="D49" s="0" t="inlineStr">
        <is>
          <t>requirement_submit</t>
        </is>
      </c>
      <c r="E49" s="0" t="inlineStr">
        <is>
          <t>[]</t>
        </is>
      </c>
      <c r="F49" s="0" t="inlineStr">
        <is>
          <t>["EEPROM替代"]</t>
        </is>
      </c>
      <c r="G49" s="0" t="inlineStr">
        <is>
          <t>{}</t>
        </is>
      </c>
      <c r="H49" s="0" t="inlineStr">
        <is>
          <t>{"status": "submitted"}</t>
        </is>
      </c>
      <c r="I49" s="0" t="inlineStr">
        <is>
          <t>direct</t>
        </is>
      </c>
      <c r="J49" s="0" t="inlineStr"/>
      <c r="K49" s="0" t="inlineStr"/>
      <c r="L49" s="0" t="inlineStr"/>
    </row>
    <row r="50">
      <c r="A50" s="0" t="inlineStr">
        <is>
          <t>OP-20260728-006</t>
        </is>
      </c>
      <c r="B50" s="0" t="inlineStr">
        <is>
          <t>2026-07-28T08:55:54.218344</t>
        </is>
      </c>
      <c r="C50" s="0" t="inlineStr">
        <is>
          <t>yjx</t>
        </is>
      </c>
      <c r="D50" s="0" t="inlineStr">
        <is>
          <t>requirement_submit</t>
        </is>
      </c>
      <c r="E50" s="0" t="inlineStr">
        <is>
          <t>[]</t>
        </is>
      </c>
      <c r="F50" s="0" t="inlineStr">
        <is>
          <t>["EEPROM替代"]</t>
        </is>
      </c>
      <c r="G50" s="0" t="inlineStr">
        <is>
          <t>{}</t>
        </is>
      </c>
      <c r="H50" s="0" t="inlineStr">
        <is>
          <t>{"status": "submitted"}</t>
        </is>
      </c>
      <c r="I50" s="0" t="inlineStr">
        <is>
          <t>direct</t>
        </is>
      </c>
      <c r="J50" s="0" t="inlineStr"/>
      <c r="K50" s="0" t="inlineStr"/>
      <c r="L50" s="0" t="inlineStr"/>
    </row>
    <row r="51">
      <c r="A51" s="0" t="inlineStr">
        <is>
          <t>OP-20260728-007</t>
        </is>
      </c>
      <c r="B51" s="0" t="inlineStr">
        <is>
          <t>2026-07-28T11:29:20.179049</t>
        </is>
      </c>
      <c r="C51" s="0" t="inlineStr">
        <is>
          <t>xjq</t>
        </is>
      </c>
      <c r="D51" s="0" t="inlineStr">
        <is>
          <t>requirement_link_projects</t>
        </is>
      </c>
      <c r="E51" s="0" t="inlineStr">
        <is>
          <t>[]</t>
        </is>
      </c>
      <c r="F51" s="0" t="inlineStr">
        <is>
          <t>["EEPROM替代"]</t>
        </is>
      </c>
      <c r="G51" s="0" t="inlineStr">
        <is>
          <t>{"linked_projects": []}</t>
        </is>
      </c>
      <c r="H51" s="0" t="inlineStr">
        <is>
          <t>{"linked_projects": ["EEPROM驱动协助"]}</t>
        </is>
      </c>
      <c r="I51" s="0" t="inlineStr">
        <is>
          <t>direct</t>
        </is>
      </c>
      <c r="J51" s="0" t="inlineStr"/>
      <c r="K51" s="0" t="inlineStr"/>
      <c r="L51" s="0" t="inlineStr"/>
    </row>
    <row r="52">
      <c r="A52" s="0" t="inlineStr">
        <is>
          <t>OP-20260728-008</t>
        </is>
      </c>
      <c r="B52" s="0" t="inlineStr">
        <is>
          <t>2026-07-28T11:29:24.088946</t>
        </is>
      </c>
      <c r="C52" s="0" t="inlineStr">
        <is>
          <t>xjq</t>
        </is>
      </c>
      <c r="D52" s="0" t="inlineStr">
        <is>
          <t>requirement_accept</t>
        </is>
      </c>
      <c r="E52" s="0" t="inlineStr">
        <is>
          <t>[]</t>
        </is>
      </c>
      <c r="F52" s="0" t="inlineStr">
        <is>
          <t>["EEPROM替代"]</t>
        </is>
      </c>
      <c r="G52" s="0" t="inlineStr">
        <is>
          <t>{"status": "submitted"}</t>
        </is>
      </c>
      <c r="H52" s="0" t="inlineStr">
        <is>
          <t>{"status": "accepted"}</t>
        </is>
      </c>
      <c r="I52" s="0" t="inlineStr">
        <is>
          <t>direct</t>
        </is>
      </c>
      <c r="J52" s="0" t="inlineStr"/>
      <c r="K52" s="0" t="inlineStr"/>
      <c r="L52" s="0" t="inlineStr"/>
    </row>
    <row r="53">
      <c r="A53" s="0" t="inlineStr">
        <is>
          <t>OP-20260728-009</t>
        </is>
      </c>
      <c r="B53" s="0" t="inlineStr">
        <is>
          <t>2026-07-28T11:29:33.915435</t>
        </is>
      </c>
      <c r="C53" s="0" t="inlineStr">
        <is>
          <t>xjq</t>
        </is>
      </c>
      <c r="D53" s="0" t="inlineStr">
        <is>
          <t>requirement_delete</t>
        </is>
      </c>
      <c r="E53" s="0" t="inlineStr">
        <is>
          <t>[]</t>
        </is>
      </c>
      <c r="F53" s="0" t="inlineStr">
        <is>
          <t>["[已删除]"]</t>
        </is>
      </c>
      <c r="G53" s="0" t="inlineStr">
        <is>
          <t>{"status": "submitted"}</t>
        </is>
      </c>
      <c r="H53" s="0" t="inlineStr">
        <is>
          <t>{"status": "deleted"}</t>
        </is>
      </c>
      <c r="I53" s="0" t="inlineStr">
        <is>
          <t>direct</t>
        </is>
      </c>
      <c r="J53" s="0" t="inlineStr"/>
      <c r="K53" s="0" t="inlineStr"/>
      <c r="L53" s="0" t="inlineStr"/>
    </row>
    <row r="54">
      <c r="A54" s="0" t="inlineStr">
        <is>
          <t>OP-20260729-001</t>
        </is>
      </c>
      <c r="B54" s="0" t="inlineStr">
        <is>
          <t>2026-07-29T00:58:22.083048</t>
        </is>
      </c>
      <c r="C54" s="0" t="inlineStr">
        <is>
          <t>xjq</t>
        </is>
      </c>
      <c r="D54" s="0" t="inlineStr">
        <is>
          <t>requirement_archive</t>
        </is>
      </c>
      <c r="E54" s="0" t="inlineStr">
        <is>
          <t>[]</t>
        </is>
      </c>
      <c r="F54" s="0" t="inlineStr">
        <is>
          <t>["测试需求看板"]</t>
        </is>
      </c>
      <c r="G54" s="0" t="inlineStr">
        <is>
          <t>{"status": "accepted"}</t>
        </is>
      </c>
      <c r="H54" s="0" t="inlineStr">
        <is>
          <t>{"status": "archived"}</t>
        </is>
      </c>
      <c r="I54" s="0" t="inlineStr">
        <is>
          <t>direct</t>
        </is>
      </c>
      <c r="J54" s="0" t="inlineStr"/>
      <c r="K54" s="0" t="inlineStr"/>
      <c r="L54" s="0" t="inlineStr"/>
    </row>
    <row r="55">
      <c r="A55" s="0" t="inlineStr">
        <is>
          <t>OP-20260729-002</t>
        </is>
      </c>
      <c r="B55" s="0" t="inlineStr">
        <is>
          <t>2026-07-29T00:58:33.194899</t>
        </is>
      </c>
      <c r="C55" s="0" t="inlineStr">
        <is>
          <t>xjq</t>
        </is>
      </c>
      <c r="D55" s="0" t="inlineStr">
        <is>
          <t>requirement_archive</t>
        </is>
      </c>
      <c r="E55" s="0" t="inlineStr">
        <is>
          <t>[]</t>
        </is>
      </c>
      <c r="F55" s="0" t="inlineStr">
        <is>
          <t>["测试需求看板"]</t>
        </is>
      </c>
      <c r="G55" s="0" t="inlineStr">
        <is>
          <t>{"status": "accepted"}</t>
        </is>
      </c>
      <c r="H55" s="0" t="inlineStr">
        <is>
          <t>{"status": "archived"}</t>
        </is>
      </c>
      <c r="I55" s="0" t="inlineStr">
        <is>
          <t>direct</t>
        </is>
      </c>
      <c r="J55" s="0" t="inlineStr"/>
      <c r="K55" s="0" t="inlineStr"/>
      <c r="L55" s="0" t="inlineStr"/>
    </row>
    <row r="56">
      <c r="A56" s="0" t="inlineStr">
        <is>
          <t>OP-20260729-003</t>
        </is>
      </c>
      <c r="B56" s="0" t="inlineStr">
        <is>
          <t>2026-07-29T00:58:55.481535</t>
        </is>
      </c>
      <c r="C56" s="0" t="inlineStr">
        <is>
          <t>xjq</t>
        </is>
      </c>
      <c r="D56" s="0" t="inlineStr">
        <is>
          <t>requirement_delete</t>
        </is>
      </c>
      <c r="E56" s="0" t="inlineStr">
        <is>
          <t>[]</t>
        </is>
      </c>
      <c r="F56" s="0" t="inlineStr">
        <is>
          <t>["[已删除]"]</t>
        </is>
      </c>
      <c r="G56" s="0" t="inlineStr">
        <is>
          <t>{"status": "deleted"}</t>
        </is>
      </c>
      <c r="H56" s="0" t="inlineStr">
        <is>
          <t>{"status": "deleted"}</t>
        </is>
      </c>
      <c r="I56" s="0" t="inlineStr">
        <is>
          <t>direct</t>
        </is>
      </c>
      <c r="J56" s="0" t="inlineStr"/>
      <c r="K56" s="0" t="inlineStr"/>
      <c r="L56" s="0" t="inlineStr"/>
    </row>
    <row r="57">
      <c r="A57" s="0" t="inlineStr">
        <is>
          <t>OP-20260729-004</t>
        </is>
      </c>
      <c r="B57" s="0" t="inlineStr">
        <is>
          <t>2026-07-29T01:08:34.380759</t>
        </is>
      </c>
      <c r="C57" s="0" t="inlineStr">
        <is>
          <t>mwh</t>
        </is>
      </c>
      <c r="D57" s="0" t="inlineStr">
        <is>
          <t>edit</t>
        </is>
      </c>
      <c r="E57" s="0" t="inlineStr">
        <is>
          <t>[150]</t>
        </is>
      </c>
      <c r="F57" s="0" t="inlineStr">
        <is>
          <t>["巴勒斯坦超声户表二开"]</t>
        </is>
      </c>
      <c r="G57" s="0" t="inlineStr">
        <is>
          <t>{"部门": "亚洲", "项目": "巴勒斯坦超声户表二开", "项目描述": "TR4", "资源类型": "水表固件代码编写", "资源名称": "毛文豪", "资源开始时间": "2026-07-23", "资源结束时间": "2026-07-25", "日平均工时": 6}</t>
        </is>
      </c>
      <c r="H57" s="0" t="inlineStr">
        <is>
          <t>{"部门": "亚洲", "项目": "巴勒斯坦超声户表二开", "项目描述": "TR4", "资源类型": "水表固件代码编写", "资源名称": "毛文豪", "资源开始时间": "2026-07-23", "资源结束时间": "2026-07-31", "日平均工时": 6}</t>
        </is>
      </c>
      <c r="I57" s="0" t="inlineStr">
        <is>
          <t>approved</t>
        </is>
      </c>
      <c r="J57" s="0" t="inlineStr"/>
      <c r="K57" s="0" t="inlineStr">
        <is>
          <t>xjq</t>
        </is>
      </c>
      <c r="L57" s="0" t="inlineStr">
        <is>
          <t>2026-07-29T01:10:59.684806</t>
        </is>
      </c>
    </row>
    <row r="58">
      <c r="A58" s="0" t="inlineStr">
        <is>
          <t>OP-20260729-005</t>
        </is>
      </c>
      <c r="B58" s="0" t="inlineStr">
        <is>
          <t>2026-07-29T01:08:51.679799</t>
        </is>
      </c>
      <c r="C58" s="0" t="inlineStr">
        <is>
          <t>mwh</t>
        </is>
      </c>
      <c r="D58" s="0" t="inlineStr">
        <is>
          <t>edit</t>
        </is>
      </c>
      <c r="E58" s="0" t="inlineStr">
        <is>
          <t>[151]</t>
        </is>
      </c>
      <c r="F58" s="0" t="inlineStr">
        <is>
          <t>["巴勒斯坦超声户表二开"]</t>
        </is>
      </c>
      <c r="G58" s="0" t="inlineStr">
        <is>
          <t>{"部门": "亚洲", "项目": "巴勒斯坦超声户表二开", "项目描述": "TR4", "资源类型": "水表固件自测", "资源名称": "毛文豪", "资源开始时间": "2026-07-27", "资源结束时间": "2026-07-29", "日平均工时": 6}</t>
        </is>
      </c>
      <c r="H58" s="0" t="inlineStr">
        <is>
          <t>{"部门": "亚洲", "项目": "巴勒斯坦超声户表二开", "项目描述": "TR4", "资源类型": "水表固件自测", "资源名称": "毛文豪", "资源开始时间": "2026-07-27", "资源结束时间": "2026-07-31", "日平均工时": 6}</t>
        </is>
      </c>
      <c r="I58" s="0" t="inlineStr">
        <is>
          <t>approved</t>
        </is>
      </c>
      <c r="J58" s="0" t="inlineStr"/>
      <c r="K58" s="0" t="inlineStr">
        <is>
          <t>xjq</t>
        </is>
      </c>
      <c r="L58" s="0" t="inlineStr">
        <is>
          <t>2026-07-29T01:12:06.478900</t>
        </is>
      </c>
    </row>
    <row r="59">
      <c r="A59" s="0" t="inlineStr">
        <is>
          <t>OP-20260729-006</t>
        </is>
      </c>
      <c r="B59" s="0" t="inlineStr">
        <is>
          <t>2026-07-29T01:16:24.483597</t>
        </is>
      </c>
      <c r="C59" s="0" t="inlineStr">
        <is>
          <t>wcw</t>
        </is>
      </c>
      <c r="D59" s="0" t="inlineStr">
        <is>
          <t>edit</t>
        </is>
      </c>
      <c r="E59" s="0" t="inlineStr">
        <is>
          <t>[28]</t>
        </is>
      </c>
      <c r="F59" s="0" t="inlineStr">
        <is>
          <t>["墨西哥MIAA"]</t>
        </is>
      </c>
      <c r="G59" s="0" t="inlineStr">
        <is>
          <t>{"部门": "拉美", "项目": "墨西哥MIAA", "项目描述": "TR4A-测试阶段", "资源类型": "固件工程师-测试", "资源名称": "危才文", "资源开始时间": "1900-01-01", "资源结束时间": "2026-07-22", "日平均工时": 4}</t>
        </is>
      </c>
      <c r="H59" s="0" t="inlineStr">
        <is>
          <t>{"部门": "拉美", "项目": "墨西哥MIAA", "项目描述": "TR4A-测试阶段", "资源类型": "第二轮测试", "资源名称": "危才文", "资源开始时间": "2026-07-30", "资源结束时间": "2026-08-03", "日平均工时": 4}</t>
        </is>
      </c>
      <c r="I59" s="0" t="inlineStr">
        <is>
          <t>approved</t>
        </is>
      </c>
      <c r="J59" s="0" t="inlineStr"/>
      <c r="K59" s="0" t="inlineStr">
        <is>
          <t>xjq</t>
        </is>
      </c>
      <c r="L59" s="0" t="inlineStr">
        <is>
          <t>2026-07-29T01:19:39.586280</t>
        </is>
      </c>
    </row>
    <row r="60">
      <c r="A60" s="0" t="inlineStr">
        <is>
          <t>OP-20260729-007</t>
        </is>
      </c>
      <c r="B60" s="0" t="inlineStr">
        <is>
          <t>2026-07-29T01:17:48.688827</t>
        </is>
      </c>
      <c r="C60" s="0" t="inlineStr">
        <is>
          <t>wcw</t>
        </is>
      </c>
      <c r="D60" s="0" t="inlineStr">
        <is>
          <t>edit</t>
        </is>
      </c>
      <c r="E60" s="0" t="inlineStr">
        <is>
          <t>[32]</t>
        </is>
      </c>
      <c r="F60" s="0" t="inlineStr">
        <is>
          <t>["WMBUS-OMS"]</t>
        </is>
      </c>
      <c r="G60" s="0" t="inlineStr">
        <is>
          <t>{"部门": "欧洲", "项目": "WMBUS-OMS", "项目描述": "TR4-设计开发阶段", "资源类型": "固件工程师", "资源名称": "危才文", "资源开始时间": "1900-01-01", "资源结束时间": "2026-07-08", "日平均工时": 6}</t>
        </is>
      </c>
      <c r="H60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I60" s="0" t="inlineStr">
        <is>
          <t>approved</t>
        </is>
      </c>
      <c r="J60" s="0" t="inlineStr"/>
      <c r="K60" s="0" t="inlineStr">
        <is>
          <t>xjq</t>
        </is>
      </c>
      <c r="L60" s="0" t="inlineStr">
        <is>
          <t>2026-07-29T01:20:43.483635</t>
        </is>
      </c>
    </row>
    <row r="61">
      <c r="A61" s="0" t="inlineStr">
        <is>
          <t>OP-20260729-008</t>
        </is>
      </c>
      <c r="B61" s="0" t="inlineStr">
        <is>
          <t>2026-07-29T01:26:43.288090</t>
        </is>
      </c>
      <c r="C61" s="0" t="inlineStr">
        <is>
          <t>wyh</t>
        </is>
      </c>
      <c r="D61" s="0" t="inlineStr">
        <is>
          <t>edit</t>
        </is>
      </c>
      <c r="E61" s="0" t="inlineStr">
        <is>
          <t>[70]</t>
        </is>
      </c>
      <c r="F61" s="0" t="inlineStr">
        <is>
          <t>["日常工作"]</t>
        </is>
      </c>
      <c r="G61" s="0" t="inlineStr">
        <is>
          <t>{"部门": "人员梯队建设", "项目": "日常工作", "项目描述": "", "资源类型": "HFP-代码架构学习", "资源名称": "魏殷浩", "资源开始时间": "2026-07-20", "资源结束时间": "2026-08-10", "日平均工时": 1}</t>
        </is>
      </c>
      <c r="H61" s="0" t="inlineStr">
        <is>
          <t>{"部门": "人员梯队建设", "项目": "日常工作", "项目描述": "", "资源类型": "HFP-代码架构学习", "资源名称": "魏殷浩", "资源开始时间": "2026-07-20", "资源结束时间": "2026-12-20", "日平均工时": 1}</t>
        </is>
      </c>
      <c r="I61" s="0" t="inlineStr">
        <is>
          <t>approved</t>
        </is>
      </c>
      <c r="J61" s="0" t="inlineStr"/>
      <c r="K61" s="0" t="inlineStr">
        <is>
          <t>xjq</t>
        </is>
      </c>
      <c r="L61" s="0" t="inlineStr">
        <is>
          <t>2026-07-29T01:33:45.384387</t>
        </is>
      </c>
    </row>
    <row r="62">
      <c r="A62" s="0" t="inlineStr">
        <is>
          <t>OP-20260729-009</t>
        </is>
      </c>
      <c r="B62" s="0" t="inlineStr">
        <is>
          <t>2026-07-29T01:28:47.181298</t>
        </is>
      </c>
      <c r="C62" s="0" t="inlineStr">
        <is>
          <t>wyh</t>
        </is>
      </c>
      <c r="D62" s="0" t="inlineStr">
        <is>
          <t>edit</t>
        </is>
      </c>
      <c r="E62" s="0" t="inlineStr">
        <is>
          <t>[72]</t>
        </is>
      </c>
      <c r="F62" s="0" t="inlineStr">
        <is>
          <t>["升级工具制作"]</t>
        </is>
      </c>
      <c r="G62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2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2}</t>
        </is>
      </c>
      <c r="I62" s="0" t="inlineStr">
        <is>
          <t>pending</t>
        </is>
      </c>
      <c r="J62" s="0" t="inlineStr"/>
      <c r="K62" s="0" t="inlineStr"/>
      <c r="L62" s="0" t="inlineStr"/>
    </row>
    <row r="63">
      <c r="A63" s="0" t="inlineStr">
        <is>
          <t>OP-20260729-010</t>
        </is>
      </c>
      <c r="B63" s="0" t="inlineStr">
        <is>
          <t>2026-07-29T01:29:05.481121</t>
        </is>
      </c>
      <c r="C63" s="0" t="inlineStr">
        <is>
          <t>yjx</t>
        </is>
      </c>
      <c r="D63" s="0" t="inlineStr">
        <is>
          <t>requirement_submit</t>
        </is>
      </c>
      <c r="E63" s="0" t="inlineStr">
        <is>
          <t>[]</t>
        </is>
      </c>
      <c r="F63" s="0" t="inlineStr">
        <is>
          <t>["沙特温压传感器测试"]</t>
        </is>
      </c>
      <c r="G63" s="0" t="inlineStr">
        <is>
          <t>{}</t>
        </is>
      </c>
      <c r="H63" s="0" t="inlineStr">
        <is>
          <t>{"status": "submitted"}</t>
        </is>
      </c>
      <c r="I63" s="0" t="inlineStr">
        <is>
          <t>direct</t>
        </is>
      </c>
      <c r="J63" s="0" t="inlineStr"/>
      <c r="K63" s="0" t="inlineStr"/>
      <c r="L63" s="0" t="inlineStr"/>
    </row>
    <row r="64">
      <c r="A64" s="0" t="inlineStr">
        <is>
          <t>OP-20260729-011</t>
        </is>
      </c>
      <c r="B64" s="0" t="inlineStr">
        <is>
          <t>2026-07-29T01:29:25.587757</t>
        </is>
      </c>
      <c r="C64" s="0" t="inlineStr">
        <is>
          <t>wyh</t>
        </is>
      </c>
      <c r="D64" s="0" t="inlineStr">
        <is>
          <t>edit</t>
        </is>
      </c>
      <c r="E64" s="0" t="inlineStr">
        <is>
          <t>[72]</t>
        </is>
      </c>
      <c r="F64" s="0" t="inlineStr">
        <is>
          <t>["升级工具制作"]</t>
        </is>
      </c>
      <c r="G64" s="0" t="inlineStr">
        <is>
          <t>{"部门": "日常工作", "项目": "升级工具制作", "项目描述": "", "资源类型": "", "资源名称": "魏殷浩", "资源开始时间": "2026-08-01", "资源结束时间": "2026-08-31", "日平均工时": 6}</t>
        </is>
      </c>
      <c r="H64" s="0" t="inlineStr">
        <is>
          <t>{"部门": "日常工作", "项目": "升级工具制作", "项目描述": "", "资源类型": "泽联售后维护工具", "资源名称": "魏殷浩", "资源开始时间": "2026-08-20", "资源结束时间": "2026-10-15", "日平均工时": 3}</t>
        </is>
      </c>
      <c r="I64" s="0" t="inlineStr">
        <is>
          <t>approved</t>
        </is>
      </c>
      <c r="J64" s="0" t="inlineStr"/>
      <c r="K64" s="0" t="inlineStr">
        <is>
          <t>xjq</t>
        </is>
      </c>
      <c r="L64" s="0" t="inlineStr">
        <is>
          <t>2026-07-29T01:37:08.479021</t>
        </is>
      </c>
    </row>
    <row r="65">
      <c r="A65" s="0" t="inlineStr">
        <is>
          <t>OP-20260729-012</t>
        </is>
      </c>
      <c r="B65" s="0" t="inlineStr">
        <is>
          <t>2026-07-29T01:30:25.949665</t>
        </is>
      </c>
      <c r="C65" s="0" t="inlineStr">
        <is>
          <t>shj</t>
        </is>
      </c>
      <c r="D65" s="0" t="inlineStr">
        <is>
          <t>add</t>
        </is>
      </c>
      <c r="E65" s="0" t="inlineStr">
        <is>
          <t>[]</t>
        </is>
      </c>
      <c r="F65" s="0" t="inlineStr">
        <is>
          <t>["蓝牙工装"]</t>
        </is>
      </c>
      <c r="G65" s="0" t="inlineStr">
        <is>
          <t>{}</t>
        </is>
      </c>
      <c r="H65" s="0" t="inlineStr">
        <is>
          <t>{}</t>
        </is>
      </c>
      <c r="I65" s="0" t="inlineStr">
        <is>
          <t>rejected</t>
        </is>
      </c>
      <c r="J65" s="0" t="inlineStr"/>
      <c r="K65" s="0" t="inlineStr">
        <is>
          <t>tjs</t>
        </is>
      </c>
      <c r="L65" s="0" t="inlineStr">
        <is>
          <t>2026-07-29T01:47:43.290937</t>
        </is>
      </c>
    </row>
    <row r="66">
      <c r="A66" s="0" t="inlineStr">
        <is>
          <t>OP-20260729-013</t>
        </is>
      </c>
      <c r="B66" s="0" t="inlineStr">
        <is>
          <t>2026-07-29T01:31:28.887027</t>
        </is>
      </c>
      <c r="C66" s="0" t="inlineStr">
        <is>
          <t>shj</t>
        </is>
      </c>
      <c r="D66" s="0" t="inlineStr">
        <is>
          <t>add</t>
        </is>
      </c>
      <c r="E66" s="0" t="inlineStr">
        <is>
          <t>[]</t>
        </is>
      </c>
      <c r="F66" s="0" t="inlineStr">
        <is>
          <t>["物料替换"]</t>
        </is>
      </c>
      <c r="G66" s="0" t="inlineStr">
        <is>
          <t>{}</t>
        </is>
      </c>
      <c r="H66" s="0" t="inlineStr">
        <is>
          <t>{}</t>
        </is>
      </c>
      <c r="I66" s="0" t="inlineStr">
        <is>
          <t>rejected</t>
        </is>
      </c>
      <c r="J66" s="0" t="inlineStr"/>
      <c r="K66" s="0" t="inlineStr">
        <is>
          <t>tjs</t>
        </is>
      </c>
      <c r="L66" s="0" t="inlineStr">
        <is>
          <t>2026-07-29T01:47:18.885817</t>
        </is>
      </c>
    </row>
    <row r="67">
      <c r="A67" s="0" t="inlineStr">
        <is>
          <t>OP-20260729-014</t>
        </is>
      </c>
      <c r="B67" s="0" t="inlineStr">
        <is>
          <t>2026-07-29T01:32:23.184344</t>
        </is>
      </c>
      <c r="C67" s="0" t="inlineStr">
        <is>
          <t>shj</t>
        </is>
      </c>
      <c r="D67" s="0" t="inlineStr">
        <is>
          <t>add</t>
        </is>
      </c>
      <c r="E67" s="0" t="inlineStr">
        <is>
          <t>[]</t>
        </is>
      </c>
      <c r="F67" s="0" t="inlineStr">
        <is>
          <t>["物料替换"]</t>
        </is>
      </c>
      <c r="G67" s="0" t="inlineStr">
        <is>
          <t>{}</t>
        </is>
      </c>
      <c r="H67" s="0" t="inlineStr">
        <is>
          <t>{}</t>
        </is>
      </c>
      <c r="I67" s="0" t="inlineStr">
        <is>
          <t>rejected</t>
        </is>
      </c>
      <c r="J67" s="0" t="inlineStr"/>
      <c r="K67" s="0" t="inlineStr">
        <is>
          <t>tjs</t>
        </is>
      </c>
      <c r="L67" s="0" t="inlineStr">
        <is>
          <t>2026-07-29T01:47:07.886957</t>
        </is>
      </c>
    </row>
    <row r="68">
      <c r="A68" s="0" t="inlineStr">
        <is>
          <t>OP-20260729-015</t>
        </is>
      </c>
      <c r="B68" s="0" t="inlineStr">
        <is>
          <t>2026-07-29T01:48:38.250620</t>
        </is>
      </c>
      <c r="C68" s="0" t="inlineStr">
        <is>
          <t>shj</t>
        </is>
      </c>
      <c r="D68" s="0" t="inlineStr">
        <is>
          <t>add</t>
        </is>
      </c>
      <c r="E68" s="0" t="inlineStr">
        <is>
          <t>[]</t>
        </is>
      </c>
      <c r="F68" s="0" t="inlineStr">
        <is>
          <t>["蓝牙工装"]</t>
        </is>
      </c>
      <c r="G68" s="0" t="inlineStr">
        <is>
          <t>{}</t>
        </is>
      </c>
      <c r="H68" s="0" t="inlineStr">
        <is>
          <t>{"部门": "日常工作", "项目": "蓝牙工装", "项目开始时间": "2026-07-27", "项目结束时间": "2026-07-31", "项目描述": "1.蓝牙转红外 2.typec转红外 3.有两个按键蓝牙选用公司华普微的2051901870 4.带flash（标准32M） 5.带充电电池（可跳线不使用充电电池）", "资源类型": "硬件工程师", "资源名称": "舒杰", "资源开始时间": "2026-07-27", "资源结束时间": "2026-07-31", "日平均工时": 4, "已归档": false}</t>
        </is>
      </c>
      <c r="I68" s="0" t="inlineStr">
        <is>
          <t>approved</t>
        </is>
      </c>
      <c r="J68" s="0" t="inlineStr"/>
      <c r="K68" s="0" t="inlineStr">
        <is>
          <t>tjs</t>
        </is>
      </c>
      <c r="L68" s="0" t="inlineStr">
        <is>
          <t>2026-07-30T08:32:01.483154</t>
        </is>
      </c>
    </row>
    <row r="69">
      <c r="A69" s="0" t="inlineStr">
        <is>
          <t>OP-20260729-016</t>
        </is>
      </c>
      <c r="B69" s="0" t="inlineStr">
        <is>
          <t>2026-07-29T01:49:24.596029</t>
        </is>
      </c>
      <c r="C69" s="0" t="inlineStr">
        <is>
          <t>shj</t>
        </is>
      </c>
      <c r="D69" s="0" t="inlineStr">
        <is>
          <t>add</t>
        </is>
      </c>
      <c r="E69" s="0" t="inlineStr">
        <is>
          <t>[]</t>
        </is>
      </c>
      <c r="F69" s="0" t="inlineStr">
        <is>
          <t>["物料替换"]</t>
        </is>
      </c>
      <c r="G69" s="0" t="inlineStr">
        <is>
          <t>{}</t>
        </is>
      </c>
      <c r="H69" s="0" t="inlineStr">
        <is>
          <t>{"部门": "日常工作", "项目": "物料替换", "项目开始时间": "2026-07-27", "项目结束时间": "2026-07-31", "项目描述": "光耦替代料测试", "资源类型": "硬件工程师", "资源名称": "舒杰", "资源开始时间": "2026-07-27", "资源结束时间": "2026-07-31", "日平均工时": 2, "已归档": false}</t>
        </is>
      </c>
      <c r="I69" s="0" t="inlineStr">
        <is>
          <t>approved</t>
        </is>
      </c>
      <c r="J69" s="0" t="inlineStr"/>
      <c r="K69" s="0" t="inlineStr">
        <is>
          <t>xjq</t>
        </is>
      </c>
      <c r="L69" s="0" t="inlineStr">
        <is>
          <t>2026-07-31T11:22:07.431704</t>
        </is>
      </c>
    </row>
    <row r="70">
      <c r="A70" s="0" t="inlineStr">
        <is>
          <t>OP-20260729-017</t>
        </is>
      </c>
      <c r="B70" s="0" t="inlineStr">
        <is>
          <t>2026-07-29T08:41:17.450692</t>
        </is>
      </c>
      <c r="C70" s="0" t="inlineStr">
        <is>
          <t>mwh</t>
        </is>
      </c>
      <c r="D70" s="0" t="inlineStr">
        <is>
          <t>add</t>
        </is>
      </c>
      <c r="E70" s="0" t="inlineStr">
        <is>
          <t>[]</t>
        </is>
      </c>
      <c r="F70" s="0" t="inlineStr">
        <is>
          <t>["巴勒斯坦超声户表二开"]</t>
        </is>
      </c>
      <c r="G70" s="0" t="inlineStr">
        <is>
          <t>{}</t>
        </is>
      </c>
      <c r="H70" s="0" t="inlineStr">
        <is>
          <t>{"部门": "亚洲", "项目": "巴勒斯坦超声户表二开", "项目开始时间": "1900-01-01", "项目结束时间": "2100-01-01", "项目描述": "TR4A", "资源类型": "测试工程师", "资源名称": "袁知正", "资源开始时间": "2026-08-17", "资源结束时间": "2026-08-20", "日平均工时": 8, "已归档": false}</t>
        </is>
      </c>
      <c r="I70" s="0" t="inlineStr">
        <is>
          <t>approved</t>
        </is>
      </c>
      <c r="J70" s="0" t="inlineStr"/>
      <c r="K70" s="0" t="inlineStr">
        <is>
          <t>xjq</t>
        </is>
      </c>
      <c r="L70" s="0" t="inlineStr">
        <is>
          <t>2026-07-30T06:44:49.492229</t>
        </is>
      </c>
    </row>
    <row r="71">
      <c r="A71" s="0" t="inlineStr">
        <is>
          <t>OP-20260729-018</t>
        </is>
      </c>
      <c r="B71" s="0" t="inlineStr">
        <is>
          <t>2026-07-29T13:06:02.193108</t>
        </is>
      </c>
      <c r="C71" s="0" t="inlineStr">
        <is>
          <t>wcw</t>
        </is>
      </c>
      <c r="D71" s="0" t="inlineStr">
        <is>
          <t>edit</t>
        </is>
      </c>
      <c r="E71" s="0" t="inlineStr">
        <is>
          <t>[32]</t>
        </is>
      </c>
      <c r="F71" s="0" t="inlineStr">
        <is>
          <t>["WMBUS-OMS"]</t>
        </is>
      </c>
      <c r="G71" s="0" t="inlineStr">
        <is>
          <t>{"部门": "欧洲", "项目": "WMBUS-OMS", "项目描述": "TR4-设计开发阶段", "资源类型": "SE文档评审", "资源名称": "危才文", "资源开始时间": "2026-07-29", "资源结束时间": "2026-07-29", "日平均工时": 1}</t>
        </is>
      </c>
      <c r="H71" s="0" t="inlineStr">
        <is>
          <t>{"部门": "欧洲", "项目": "WMBUS-OMS", "项目描述": "TR4-设计开发阶段", "资源类型": "同步修复墨西哥MIAA问题", "资源名称": "危才文", "资源开始时间": "2026-07-30", "资源结束时间": "2026-07-30", "日平均工时": 2}</t>
        </is>
      </c>
      <c r="I71" s="0" t="inlineStr">
        <is>
          <t>approved</t>
        </is>
      </c>
      <c r="J71" s="0" t="inlineStr"/>
      <c r="K71" s="0" t="inlineStr">
        <is>
          <t>xjq</t>
        </is>
      </c>
      <c r="L71" s="0" t="inlineStr">
        <is>
          <t>2026-07-30T06:45:37.288931</t>
        </is>
      </c>
    </row>
    <row r="72">
      <c r="A72" s="0" t="inlineStr">
        <is>
          <t>OP-20260731-001</t>
        </is>
      </c>
      <c r="B72" s="0" t="inlineStr">
        <is>
          <t>2026-07-31T11:19:50.124355</t>
        </is>
      </c>
      <c r="C72" s="0" t="inlineStr">
        <is>
          <t>system</t>
        </is>
      </c>
      <c r="D72" s="0" t="inlineStr">
        <is>
          <t>requirement_auto_archive</t>
        </is>
      </c>
      <c r="E72" s="0" t="inlineStr">
        <is>
          <t>[]</t>
        </is>
      </c>
      <c r="F72" s="0" t="inlineStr">
        <is>
          <t>["测试需求看板"]</t>
        </is>
      </c>
      <c r="G72" s="0" t="inlineStr">
        <is>
          <t>{"status": "accepted"}</t>
        </is>
      </c>
      <c r="H72" s="0" t="inlineStr">
        <is>
          <t>{"status": "archived", "原因": "3天未确认"}</t>
        </is>
      </c>
      <c r="I72" s="0" t="inlineStr">
        <is>
          <t>direct</t>
        </is>
      </c>
      <c r="J72" s="0" t="inlineStr"/>
      <c r="K72" s="0" t="inlineStr"/>
      <c r="L72" s="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2026-07-31T11:22:13Z</dcterms:modified>
  <cp:lastModifiedBy>项家祺</cp:lastModifiedBy>
</cp:coreProperties>
</file>