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t="inlineStr">
        <is>
          <t>测试</t>
        </is>
      </c>
      <c r="F217" t="inlineStr">
        <is>
          <t>TEST demand</t>
        </is>
      </c>
      <c r="G217" t="inlineStr">
        <is>
          <t>1900-01-01</t>
        </is>
      </c>
      <c r="H217" t="inlineStr">
        <is>
          <t>2100-01-01</t>
        </is>
      </c>
      <c r="I217" t="inlineStr">
        <is>
          <t>新增</t>
        </is>
      </c>
      <c r="J217" t="inlineStr">
        <is>
          <t>项目经理</t>
        </is>
      </c>
      <c r="K217" t="inlineStr">
        <is>
          <t>@项家祺(80004213)(项家祺)</t>
        </is>
      </c>
      <c r="L217" t="inlineStr">
        <is>
          <t>2026-07-25</t>
        </is>
      </c>
      <c r="M217" t="inlineStr">
        <is>
          <t>2026-07-25</t>
        </is>
      </c>
      <c r="N217" t="n">
        <v>8</v>
      </c>
      <c r="O217">
        <f>任务计划表!K217</f>
        <v/>
      </c>
      <c r="P217">
        <f>IF(IF(任务计划表!L217="/",人员资源情况!$A$2,L217)&gt;M217,M217,(IF(任务计划表!L217="/",人员资源情况!$A$2,L217)))</f>
        <v/>
      </c>
      <c r="Q217">
        <f>IF(M217="/",人员资源情况!$B$2,任务计划表!M217)</f>
        <v/>
      </c>
      <c r="R217">
        <f>任务计划表!N217</f>
        <v/>
      </c>
      <c r="S217">
        <f>IF(O217=人员资源情况!C$2,1,0)</f>
        <v/>
      </c>
      <c r="T217">
        <f>IF(P217&gt;=人员资源情况!A$2,1,0)</f>
        <v/>
      </c>
      <c r="U217">
        <f>IF(Q217&lt;=人员资源情况!B$2,1,0)</f>
        <v/>
      </c>
      <c r="V217">
        <f>IF(T217*U217,Q217-P217,IF(T217&gt;U217,人员资源情况!B$2-P217,IF(T217&lt;U217,任务计划表!Q217-人员资源情况!A$2,0)))*R217*S217</f>
        <v/>
      </c>
      <c r="W217">
        <f>IF(V217&lt;0,0,V217)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2026-07-25T07:15:58Z</dcterms:modified>
  <cp:lastModifiedBy>项家祺</cp:lastModifiedBy>
</cp:coreProperties>
</file>