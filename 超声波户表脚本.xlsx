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E106" t="inlineStr">
        <is>
          <t>亚洲</t>
        </is>
      </c>
      <c r="F106" t="inlineStr">
        <is>
          <t>巴勒斯坦超声户表二开</t>
        </is>
      </c>
      <c r="G106" t="inlineStr">
        <is>
          <t>2026-07-09</t>
        </is>
      </c>
      <c r="H106" t="inlineStr">
        <is>
          <t>2026-08-15</t>
        </is>
      </c>
      <c r="I106" t="inlineStr">
        <is>
          <t>TR1</t>
        </is>
      </c>
      <c r="J106" t="inlineStr">
        <is>
          <t>需求导入</t>
        </is>
      </c>
      <c r="K106" t="inlineStr">
        <is>
          <t>@毛文豪(80018842)</t>
        </is>
      </c>
      <c r="L106" t="inlineStr">
        <is>
          <t>2026-07-09</t>
        </is>
      </c>
      <c r="M106" t="inlineStr">
        <is>
          <t>2026-07-10</t>
        </is>
      </c>
      <c r="N106" t="n">
        <v>0</v>
      </c>
      <c r="O106">
        <f>任务计划表!K106</f>
        <v/>
      </c>
      <c r="P106">
        <f>IF(IF(任务计划表!L106="/",人员资源情况!$A$2,L106)&gt;M106,M106,(IF(任务计划表!L106="/",人员资源情况!$A$2,L106)))</f>
        <v/>
      </c>
      <c r="Q106">
        <f>IF(M106="/",人员资源情况!$B$2,任务计划表!M106)</f>
        <v/>
      </c>
      <c r="R106">
        <f>任务计划表!N106</f>
        <v/>
      </c>
      <c r="S106">
        <f>IF(O106=人员资源情况!C$2,1,0)</f>
        <v/>
      </c>
      <c r="T106">
        <f>IF(P106&gt;=人员资源情况!A$2,1,0)</f>
        <v/>
      </c>
      <c r="U106">
        <f>IF(Q106&lt;=人员资源情况!B$2,1,0)</f>
        <v/>
      </c>
      <c r="V106">
        <f>IF(T106*U106,Q106-P106,IF(T106&gt;U106,人员资源情况!B$2-P106,IF(T106&lt;U106,任务计划表!Q106-人员资源情况!A$2,0)))*R106*S106</f>
        <v/>
      </c>
      <c r="W106">
        <f>IF(V106&lt;0,0,V106)</f>
        <v/>
      </c>
    </row>
    <row r="107">
      <c r="E107" t="inlineStr">
        <is>
          <t>亚洲</t>
        </is>
      </c>
      <c r="F107" t="inlineStr">
        <is>
          <t>巴勒斯坦超声户表二开</t>
        </is>
      </c>
      <c r="G107" t="inlineStr">
        <is>
          <t>2026-07-09</t>
        </is>
      </c>
      <c r="H107" t="inlineStr">
        <is>
          <t>2026-08-15</t>
        </is>
      </c>
      <c r="I107" t="inlineStr">
        <is>
          <t>TR1</t>
        </is>
      </c>
      <c r="J107" t="inlineStr">
        <is>
          <t>需求评审</t>
        </is>
      </c>
      <c r="K107" t="inlineStr">
        <is>
          <t>@毛文豪(80018842)</t>
        </is>
      </c>
      <c r="L107" t="inlineStr">
        <is>
          <t>2026-07-09</t>
        </is>
      </c>
      <c r="M107" t="inlineStr">
        <is>
          <t>2026-07-10</t>
        </is>
      </c>
      <c r="N107" t="n">
        <v>0</v>
      </c>
      <c r="O107">
        <f>任务计划表!K107</f>
        <v/>
      </c>
      <c r="P107">
        <f>IF(IF(任务计划表!L107="/",人员资源情况!$A$2,L107)&gt;M107,M107,(IF(任务计划表!L107="/",人员资源情况!$A$2,L107)))</f>
        <v/>
      </c>
      <c r="Q107">
        <f>IF(M107="/",人员资源情况!$B$2,任务计划表!M107)</f>
        <v/>
      </c>
      <c r="R107">
        <f>任务计划表!N107</f>
        <v/>
      </c>
      <c r="S107">
        <f>IF(O107=人员资源情况!C$2,1,0)</f>
        <v/>
      </c>
      <c r="T107">
        <f>IF(P107&gt;=人员资源情况!A$2,1,0)</f>
        <v/>
      </c>
      <c r="U107">
        <f>IF(Q107&lt;=人员资源情况!B$2,1,0)</f>
        <v/>
      </c>
      <c r="V107">
        <f>IF(T107*U107,Q107-P107,IF(T107&gt;U107,人员资源情况!B$2-P107,IF(T107&lt;U107,任务计划表!Q107-人员资源情况!A$2,0)))*R107*S107</f>
        <v/>
      </c>
      <c r="W107">
        <f>IF(V107&lt;0,0,V107)</f>
        <v/>
      </c>
    </row>
    <row r="108">
      <c r="E108" t="inlineStr">
        <is>
          <t>亚洲</t>
        </is>
      </c>
      <c r="F108" t="inlineStr">
        <is>
          <t>巴勒斯坦超声户表二开</t>
        </is>
      </c>
      <c r="G108" t="inlineStr">
        <is>
          <t>2026-07-09</t>
        </is>
      </c>
      <c r="H108" t="inlineStr">
        <is>
          <t>2026-08-15</t>
        </is>
      </c>
      <c r="I108" t="inlineStr">
        <is>
          <t>TR3</t>
        </is>
      </c>
      <c r="J108" t="inlineStr">
        <is>
          <t>巴勒斯坦二开SE文档评审</t>
        </is>
      </c>
      <c r="K108" t="inlineStr">
        <is>
          <t>@毛文豪(80018842)</t>
        </is>
      </c>
      <c r="L108" t="inlineStr">
        <is>
          <t>2026-07-21</t>
        </is>
      </c>
      <c r="M108" t="inlineStr">
        <is>
          <t>2026-07-23</t>
        </is>
      </c>
      <c r="N108" t="n">
        <v>8</v>
      </c>
      <c r="O108">
        <f>任务计划表!K108</f>
        <v/>
      </c>
      <c r="P108">
        <f>IF(IF(任务计划表!L108="/",人员资源情况!$A$2,L108)&gt;M108,M108,(IF(任务计划表!L108="/",人员资源情况!$A$2,L108)))</f>
        <v/>
      </c>
      <c r="Q108">
        <f>IF(M108="/",人员资源情况!$B$2,任务计划表!M108)</f>
        <v/>
      </c>
      <c r="R108">
        <f>任务计划表!N108</f>
        <v/>
      </c>
      <c r="S108">
        <f>IF(O108=人员资源情况!C$2,1,0)</f>
        <v/>
      </c>
      <c r="T108">
        <f>IF(P108&gt;=人员资源情况!A$2,1,0)</f>
        <v/>
      </c>
      <c r="U108">
        <f>IF(Q108&lt;=人员资源情况!B$2,1,0)</f>
        <v/>
      </c>
      <c r="V108">
        <f>IF(T108*U108,Q108-P108,IF(T108&gt;U108,人员资源情况!B$2-P108,IF(T108&lt;U108,任务计划表!Q108-人员资源情况!A$2,0)))*R108*S108</f>
        <v/>
      </c>
      <c r="W108">
        <f>IF(V108&lt;0,0,V108)</f>
        <v/>
      </c>
    </row>
    <row r="109">
      <c r="E109" t="inlineStr">
        <is>
          <t>亚洲</t>
        </is>
      </c>
      <c r="F109" t="inlineStr">
        <is>
          <t>巴勒斯坦超声户表二开</t>
        </is>
      </c>
      <c r="G109" t="inlineStr">
        <is>
          <t>2026-07-09</t>
        </is>
      </c>
      <c r="H109" t="inlineStr">
        <is>
          <t>2026-08-15</t>
        </is>
      </c>
      <c r="I109" t="inlineStr">
        <is>
          <t>TR4</t>
        </is>
      </c>
      <c r="J109" t="inlineStr">
        <is>
          <t>水表固件代码编写</t>
        </is>
      </c>
      <c r="K109" t="inlineStr">
        <is>
          <t>@毛文豪(80018842)</t>
        </is>
      </c>
      <c r="L109" t="inlineStr">
        <is>
          <t>2026-07-23</t>
        </is>
      </c>
      <c r="M109" t="inlineStr">
        <is>
          <t>2026-07-25</t>
        </is>
      </c>
      <c r="N109" t="n">
        <v>6</v>
      </c>
      <c r="O109">
        <f>任务计划表!K109</f>
        <v/>
      </c>
      <c r="P109">
        <f>IF(IF(任务计划表!L109="/",人员资源情况!$A$2,L109)&gt;M109,M109,(IF(任务计划表!L109="/",人员资源情况!$A$2,L109)))</f>
        <v/>
      </c>
      <c r="Q109">
        <f>IF(M109="/",人员资源情况!$B$2,任务计划表!M109)</f>
        <v/>
      </c>
      <c r="R109">
        <f>任务计划表!N109</f>
        <v/>
      </c>
      <c r="S109">
        <f>IF(O109=人员资源情况!C$2,1,0)</f>
        <v/>
      </c>
      <c r="T109">
        <f>IF(P109&gt;=人员资源情况!A$2,1,0)</f>
        <v/>
      </c>
      <c r="U109">
        <f>IF(Q109&lt;=人员资源情况!B$2,1,0)</f>
        <v/>
      </c>
      <c r="V109">
        <f>IF(T109*U109,Q109-P109,IF(T109&gt;U109,人员资源情况!B$2-P109,IF(T109&lt;U109,任务计划表!Q109-人员资源情况!A$2,0)))*R109*S109</f>
        <v/>
      </c>
      <c r="W109">
        <f>IF(V109&lt;0,0,V109)</f>
        <v/>
      </c>
    </row>
    <row r="110">
      <c r="E110" t="inlineStr">
        <is>
          <t>亚洲</t>
        </is>
      </c>
      <c r="F110" t="inlineStr">
        <is>
          <t>巴勒斯坦超声户表二开</t>
        </is>
      </c>
      <c r="G110" t="inlineStr">
        <is>
          <t>2026-07-09</t>
        </is>
      </c>
      <c r="H110" t="inlineStr">
        <is>
          <t>2026-08-15</t>
        </is>
      </c>
      <c r="I110" t="inlineStr">
        <is>
          <t>TR4</t>
        </is>
      </c>
      <c r="J110" t="inlineStr">
        <is>
          <t>水表固件自测</t>
        </is>
      </c>
      <c r="K110" t="inlineStr">
        <is>
          <t>@毛文豪(80018842)</t>
        </is>
      </c>
      <c r="L110" t="inlineStr">
        <is>
          <t>2026-07-27</t>
        </is>
      </c>
      <c r="M110" t="inlineStr">
        <is>
          <t>2026-07-29</t>
        </is>
      </c>
      <c r="N110" t="n">
        <v>6</v>
      </c>
      <c r="O110">
        <f>任务计划表!K110</f>
        <v/>
      </c>
      <c r="P110">
        <f>IF(IF(任务计划表!L110="/",人员资源情况!$A$2,L110)&gt;M110,M110,(IF(任务计划表!L110="/",人员资源情况!$A$2,L110)))</f>
        <v/>
      </c>
      <c r="Q110">
        <f>IF(M110="/",人员资源情况!$B$2,任务计划表!M110)</f>
        <v/>
      </c>
      <c r="R110">
        <f>任务计划表!N110</f>
        <v/>
      </c>
      <c r="S110">
        <f>IF(O110=人员资源情况!C$2,1,0)</f>
        <v/>
      </c>
      <c r="T110">
        <f>IF(P110&gt;=人员资源情况!A$2,1,0)</f>
        <v/>
      </c>
      <c r="U110">
        <f>IF(Q110&lt;=人员资源情况!B$2,1,0)</f>
        <v/>
      </c>
      <c r="V110">
        <f>IF(T110*U110,Q110-P110,IF(T110&gt;U110,人员资源情况!B$2-P110,IF(T110&lt;U110,任务计划表!Q110-人员资源情况!A$2,0)))*R110*S110</f>
        <v/>
      </c>
      <c r="W110">
        <f>IF(V110&lt;0,0,V110)</f>
        <v/>
      </c>
    </row>
    <row r="111">
      <c r="E111" t="inlineStr">
        <is>
          <t>亚洲</t>
        </is>
      </c>
      <c r="F111" t="inlineStr">
        <is>
          <t>巴勒斯坦超声户表二开</t>
        </is>
      </c>
      <c r="G111" t="inlineStr">
        <is>
          <t>2026-07-09</t>
        </is>
      </c>
      <c r="H111" t="inlineStr">
        <is>
          <t>2026-08-15</t>
        </is>
      </c>
      <c r="I111" t="inlineStr">
        <is>
          <t>TR4</t>
        </is>
      </c>
      <c r="J111" t="inlineStr">
        <is>
          <t>CIU固件代码编写</t>
        </is>
      </c>
      <c r="K111" t="inlineStr">
        <is>
          <t>@毛文豪(80018842)</t>
        </is>
      </c>
      <c r="L111" t="inlineStr">
        <is>
          <t>2026-07-29</t>
        </is>
      </c>
      <c r="M111" t="inlineStr">
        <is>
          <t>2026-07-30</t>
        </is>
      </c>
      <c r="N111" t="n">
        <v>6</v>
      </c>
      <c r="O111">
        <f>任务计划表!K111</f>
        <v/>
      </c>
      <c r="P111">
        <f>IF(IF(任务计划表!L111="/",人员资源情况!$A$2,L111)&gt;M111,M111,(IF(任务计划表!L111="/",人员资源情况!$A$2,L111)))</f>
        <v/>
      </c>
      <c r="Q111">
        <f>IF(M111="/",人员资源情况!$B$2,任务计划表!M111)</f>
        <v/>
      </c>
      <c r="R111">
        <f>任务计划表!N111</f>
        <v/>
      </c>
      <c r="S111">
        <f>IF(O111=人员资源情况!C$2,1,0)</f>
        <v/>
      </c>
      <c r="T111">
        <f>IF(P111&gt;=人员资源情况!A$2,1,0)</f>
        <v/>
      </c>
      <c r="U111">
        <f>IF(Q111&lt;=人员资源情况!B$2,1,0)</f>
        <v/>
      </c>
      <c r="V111">
        <f>IF(T111*U111,Q111-P111,IF(T111&gt;U111,人员资源情况!B$2-P111,IF(T111&lt;U111,任务计划表!Q111-人员资源情况!A$2,0)))*R111*S111</f>
        <v/>
      </c>
      <c r="W111">
        <f>IF(V111&lt;0,0,V111)</f>
        <v/>
      </c>
    </row>
    <row r="112">
      <c r="E112" t="inlineStr">
        <is>
          <t>亚洲</t>
        </is>
      </c>
      <c r="F112" t="inlineStr">
        <is>
          <t>巴勒斯坦超声户表二开</t>
        </is>
      </c>
      <c r="G112" t="inlineStr">
        <is>
          <t>2026-07-09</t>
        </is>
      </c>
      <c r="H112" t="inlineStr">
        <is>
          <t>2026-08-15</t>
        </is>
      </c>
      <c r="I112" t="inlineStr">
        <is>
          <t>TR4A</t>
        </is>
      </c>
      <c r="J112" t="inlineStr">
        <is>
          <t>样机制作</t>
        </is>
      </c>
      <c r="K112" t="inlineStr">
        <is>
          <t>@文春英</t>
        </is>
      </c>
      <c r="L112" t="inlineStr">
        <is>
          <t>2026-07-30</t>
        </is>
      </c>
      <c r="M112" t="inlineStr">
        <is>
          <t>2026-08-03</t>
        </is>
      </c>
      <c r="N112" t="n">
        <v>2</v>
      </c>
      <c r="O112">
        <f>任务计划表!K112</f>
        <v/>
      </c>
      <c r="P112">
        <f>IF(IF(任务计划表!L112="/",人员资源情况!$A$2,L112)&gt;M112,M112,(IF(任务计划表!L112="/",人员资源情况!$A$2,L112)))</f>
        <v/>
      </c>
      <c r="Q112">
        <f>IF(M112="/",人员资源情况!$B$2,任务计划表!M112)</f>
        <v/>
      </c>
      <c r="R112">
        <f>任务计划表!N112</f>
        <v/>
      </c>
      <c r="S112">
        <f>IF(O112=人员资源情况!C$2,1,0)</f>
        <v/>
      </c>
      <c r="T112">
        <f>IF(P112&gt;=人员资源情况!A$2,1,0)</f>
        <v/>
      </c>
      <c r="U112">
        <f>IF(Q112&lt;=人员资源情况!B$2,1,0)</f>
        <v/>
      </c>
      <c r="V112">
        <f>IF(T112*U112,Q112-P112,IF(T112&gt;U112,人员资源情况!B$2-P112,IF(T112&lt;U112,任务计划表!Q112-人员资源情况!A$2,0)))*R112*S112</f>
        <v/>
      </c>
      <c r="W112">
        <f>IF(V112&lt;0,0,V112)</f>
        <v/>
      </c>
    </row>
    <row r="113">
      <c r="E113" t="inlineStr">
        <is>
          <t>亚洲</t>
        </is>
      </c>
      <c r="F113" t="inlineStr">
        <is>
          <t>巴勒斯坦超声户表二开</t>
        </is>
      </c>
      <c r="G113" t="inlineStr">
        <is>
          <t>2026-07-09</t>
        </is>
      </c>
      <c r="H113" t="inlineStr">
        <is>
          <t>2026-08-15</t>
        </is>
      </c>
      <c r="I113" t="inlineStr">
        <is>
          <t>TR4</t>
        </is>
      </c>
      <c r="J113" t="inlineStr">
        <is>
          <t>测试用例评审</t>
        </is>
      </c>
      <c r="K113" t="inlineStr">
        <is>
          <t>@袁知正</t>
        </is>
      </c>
      <c r="L113" t="inlineStr">
        <is>
          <t>2026-07-23</t>
        </is>
      </c>
      <c r="M113" t="inlineStr">
        <is>
          <t>2026-07-29</t>
        </is>
      </c>
      <c r="N113" t="n">
        <v>2</v>
      </c>
      <c r="O113">
        <f>任务计划表!K113</f>
        <v/>
      </c>
      <c r="P113">
        <f>IF(IF(任务计划表!L113="/",人员资源情况!$A$2,L113)&gt;M113,M113,(IF(任务计划表!L113="/",人员资源情况!$A$2,L113)))</f>
        <v/>
      </c>
      <c r="Q113">
        <f>IF(M113="/",人员资源情况!$B$2,任务计划表!M113)</f>
        <v/>
      </c>
      <c r="R113">
        <f>任务计划表!N113</f>
        <v/>
      </c>
      <c r="S113">
        <f>IF(O113=人员资源情况!C$2,1,0)</f>
        <v/>
      </c>
      <c r="T113">
        <f>IF(P113&gt;=人员资源情况!A$2,1,0)</f>
        <v/>
      </c>
      <c r="U113">
        <f>IF(Q113&lt;=人员资源情况!B$2,1,0)</f>
        <v/>
      </c>
      <c r="V113">
        <f>IF(T113*U113,Q113-P113,IF(T113&gt;U113,人员资源情况!B$2-P113,IF(T113&lt;U113,任务计划表!Q113-人员资源情况!A$2,0)))*R113*S113</f>
        <v/>
      </c>
      <c r="W113">
        <f>IF(V113&lt;0,0,V113)</f>
        <v/>
      </c>
    </row>
    <row r="114">
      <c r="E114" t="inlineStr">
        <is>
          <t>亚洲</t>
        </is>
      </c>
      <c r="F114" t="inlineStr">
        <is>
          <t>巴勒斯坦超声户表二开</t>
        </is>
      </c>
      <c r="G114" t="inlineStr">
        <is>
          <t>2026-07-09</t>
        </is>
      </c>
      <c r="H114" t="inlineStr">
        <is>
          <t>2026-08-15</t>
        </is>
      </c>
      <c r="I114" t="inlineStr">
        <is>
          <t>TR4A</t>
        </is>
      </c>
      <c r="J114" t="inlineStr">
        <is>
          <t>测试报告</t>
        </is>
      </c>
      <c r="K114" t="inlineStr">
        <is>
          <t>@袁知正</t>
        </is>
      </c>
      <c r="L114" t="inlineStr">
        <is>
          <t>2026-07-30</t>
        </is>
      </c>
      <c r="M114" t="inlineStr">
        <is>
          <t>2026-08-12</t>
        </is>
      </c>
      <c r="N114" t="n">
        <v>8</v>
      </c>
      <c r="O114">
        <f>任务计划表!K114</f>
        <v/>
      </c>
      <c r="P114">
        <f>IF(IF(任务计划表!L114="/",人员资源情况!$A$2,L114)&gt;M114,M114,(IF(任务计划表!L114="/",人员资源情况!$A$2,L114)))</f>
        <v/>
      </c>
      <c r="Q114">
        <f>IF(M114="/",人员资源情况!$B$2,任务计划表!M114)</f>
        <v/>
      </c>
      <c r="R114">
        <f>任务计划表!N114</f>
        <v/>
      </c>
      <c r="S114">
        <f>IF(O114=人员资源情况!C$2,1,0)</f>
        <v/>
      </c>
      <c r="T114">
        <f>IF(P114&gt;=人员资源情况!A$2,1,0)</f>
        <v/>
      </c>
      <c r="U114">
        <f>IF(Q114&lt;=人员资源情况!B$2,1,0)</f>
        <v/>
      </c>
      <c r="V114">
        <f>IF(T114*U114,Q114-P114,IF(T114&gt;U114,人员资源情况!B$2-P114,IF(T114&lt;U114,任务计划表!Q114-人员资源情况!A$2,0)))*R114*S114</f>
        <v/>
      </c>
      <c r="W114">
        <f>IF(V114&lt;0,0,V114)</f>
        <v/>
      </c>
    </row>
    <row r="115">
      <c r="E115" t="inlineStr">
        <is>
          <t>亚洲</t>
        </is>
      </c>
      <c r="F115" t="inlineStr">
        <is>
          <t>巴勒斯坦超声户表二开</t>
        </is>
      </c>
      <c r="G115" t="inlineStr">
        <is>
          <t>2026-07-09</t>
        </is>
      </c>
      <c r="H115" t="inlineStr">
        <is>
          <t>2026-08-15</t>
        </is>
      </c>
      <c r="I115" t="inlineStr">
        <is>
          <t>TR4A</t>
        </is>
      </c>
      <c r="J115" t="inlineStr">
        <is>
          <t>测试报告评审</t>
        </is>
      </c>
      <c r="K115" t="inlineStr">
        <is>
          <t>@袁知正</t>
        </is>
      </c>
      <c r="L115" t="inlineStr">
        <is>
          <t>2026-08-12</t>
        </is>
      </c>
      <c r="M115" t="inlineStr">
        <is>
          <t>2026-08-13</t>
        </is>
      </c>
      <c r="N115" t="n">
        <v>1</v>
      </c>
      <c r="O115">
        <f>任务计划表!K115</f>
        <v/>
      </c>
      <c r="P115">
        <f>IF(IF(任务计划表!L115="/",人员资源情况!$A$2,L115)&gt;M115,M115,(IF(任务计划表!L115="/",人员资源情况!$A$2,L115)))</f>
        <v/>
      </c>
      <c r="Q115">
        <f>IF(M115="/",人员资源情况!$B$2,任务计划表!M115)</f>
        <v/>
      </c>
      <c r="R115">
        <f>任务计划表!N115</f>
        <v/>
      </c>
      <c r="S115">
        <f>IF(O115=人员资源情况!C$2,1,0)</f>
        <v/>
      </c>
      <c r="T115">
        <f>IF(P115&gt;=人员资源情况!A$2,1,0)</f>
        <v/>
      </c>
      <c r="U115">
        <f>IF(Q115&lt;=人员资源情况!B$2,1,0)</f>
        <v/>
      </c>
      <c r="V115">
        <f>IF(T115*U115,Q115-P115,IF(T115&gt;U115,人员资源情况!B$2-P115,IF(T115&lt;U115,任务计划表!Q115-人员资源情况!A$2,0)))*R115*S115</f>
        <v/>
      </c>
      <c r="W115">
        <f>IF(V115&lt;0,0,V115)</f>
        <v/>
      </c>
    </row>
    <row r="116">
      <c r="E116" t="inlineStr">
        <is>
          <t>亚洲</t>
        </is>
      </c>
      <c r="F116" t="inlineStr">
        <is>
          <t>巴勒斯坦超声户表二开</t>
        </is>
      </c>
      <c r="G116" t="inlineStr">
        <is>
          <t>2026-07-09</t>
        </is>
      </c>
      <c r="H116" t="inlineStr">
        <is>
          <t>2026-08-15</t>
        </is>
      </c>
      <c r="I116" t="inlineStr">
        <is>
          <t>TR5</t>
        </is>
      </c>
      <c r="J116" t="inlineStr">
        <is>
          <t>生产工艺及规程制定</t>
        </is>
      </c>
      <c r="K116" t="inlineStr">
        <is>
          <t>@肖庆阳</t>
        </is>
      </c>
      <c r="L116" t="inlineStr">
        <is>
          <t>2026-08-13</t>
        </is>
      </c>
      <c r="M116" t="inlineStr">
        <is>
          <t>2026-08-14</t>
        </is>
      </c>
      <c r="N116" t="n">
        <v>8</v>
      </c>
      <c r="O116">
        <f>任务计划表!K116</f>
        <v/>
      </c>
      <c r="P116">
        <f>IF(IF(任务计划表!L116="/",人员资源情况!$A$2,L116)&gt;M116,M116,(IF(任务计划表!L116="/",人员资源情况!$A$2,L116)))</f>
        <v/>
      </c>
      <c r="Q116">
        <f>IF(M116="/",人员资源情况!$B$2,任务计划表!M116)</f>
        <v/>
      </c>
      <c r="R116">
        <f>任务计划表!N116</f>
        <v/>
      </c>
      <c r="S116">
        <f>IF(O116=人员资源情况!C$2,1,0)</f>
        <v/>
      </c>
      <c r="T116">
        <f>IF(P116&gt;=人员资源情况!A$2,1,0)</f>
        <v/>
      </c>
      <c r="U116">
        <f>IF(Q116&lt;=人员资源情况!B$2,1,0)</f>
        <v/>
      </c>
      <c r="V116">
        <f>IF(T116*U116,Q116-P116,IF(T116&gt;U116,人员资源情况!B$2-P116,IF(T116&lt;U116,任务计划表!Q116-人员资源情况!A$2,0)))*R116*S116</f>
        <v/>
      </c>
      <c r="W116">
        <f>IF(V116&lt;0,0,V116)</f>
        <v/>
      </c>
    </row>
    <row r="117">
      <c r="E117" t="inlineStr">
        <is>
          <t>亚洲</t>
        </is>
      </c>
      <c r="F117" t="inlineStr">
        <is>
          <t>巴勒斯坦超声户表二开</t>
        </is>
      </c>
      <c r="G117" t="inlineStr">
        <is>
          <t>2026-07-09</t>
        </is>
      </c>
      <c r="H117" t="inlineStr">
        <is>
          <t>2026-08-15</t>
        </is>
      </c>
      <c r="I117" t="inlineStr">
        <is>
          <t>TR5</t>
        </is>
      </c>
      <c r="J117" t="inlineStr">
        <is>
          <t>产品参数配置表</t>
        </is>
      </c>
      <c r="K117" t="inlineStr">
        <is>
          <t>@毛文豪(80018842)</t>
        </is>
      </c>
      <c r="L117" t="inlineStr">
        <is>
          <t>2026-08-13</t>
        </is>
      </c>
      <c r="M117" t="inlineStr">
        <is>
          <t>2026-08-14</t>
        </is>
      </c>
      <c r="N117" t="n">
        <v>2</v>
      </c>
      <c r="O117">
        <f>任务计划表!K117</f>
        <v/>
      </c>
      <c r="P117">
        <f>IF(IF(任务计划表!L117="/",人员资源情况!$A$2,L117)&gt;M117,M117,(IF(任务计划表!L117="/",人员资源情况!$A$2,L117)))</f>
        <v/>
      </c>
      <c r="Q117">
        <f>IF(M117="/",人员资源情况!$B$2,任务计划表!M117)</f>
        <v/>
      </c>
      <c r="R117">
        <f>任务计划表!N117</f>
        <v/>
      </c>
      <c r="S117">
        <f>IF(O117=人员资源情况!C$2,1,0)</f>
        <v/>
      </c>
      <c r="T117">
        <f>IF(P117&gt;=人员资源情况!A$2,1,0)</f>
        <v/>
      </c>
      <c r="U117">
        <f>IF(Q117&lt;=人员资源情况!B$2,1,0)</f>
        <v/>
      </c>
      <c r="V117">
        <f>IF(T117*U117,Q117-P117,IF(T117&gt;U117,人员资源情况!B$2-P117,IF(T117&lt;U117,任务计划表!Q117-人员资源情况!A$2,0)))*R117*S117</f>
        <v/>
      </c>
      <c r="W117">
        <f>IF(V117&lt;0,0,V117)</f>
        <v/>
      </c>
    </row>
    <row r="118">
      <c r="E118" t="inlineStr">
        <is>
          <t>亚洲</t>
        </is>
      </c>
      <c r="F118" t="inlineStr">
        <is>
          <t>巴勒斯坦超声户表二开</t>
        </is>
      </c>
      <c r="G118" t="inlineStr">
        <is>
          <t>2026-07-09</t>
        </is>
      </c>
      <c r="H118" t="inlineStr">
        <is>
          <t>2026-08-15</t>
        </is>
      </c>
      <c r="I118" t="inlineStr">
        <is>
          <t>TR5</t>
        </is>
      </c>
      <c r="J118" t="inlineStr">
        <is>
          <t>生产资料归档</t>
        </is>
      </c>
      <c r="K118" t="inlineStr">
        <is>
          <t>@肖庆阳</t>
        </is>
      </c>
      <c r="L118" t="inlineStr">
        <is>
          <t>2026-08-14</t>
        </is>
      </c>
      <c r="M118" t="inlineStr">
        <is>
          <t>2026-08-15</t>
        </is>
      </c>
      <c r="N118" t="n">
        <v>8</v>
      </c>
      <c r="O118">
        <f>任务计划表!K118</f>
        <v/>
      </c>
      <c r="P118">
        <f>IF(IF(任务计划表!L118="/",人员资源情况!$A$2,L118)&gt;M118,M118,(IF(任务计划表!L118="/",人员资源情况!$A$2,L118)))</f>
        <v/>
      </c>
      <c r="Q118">
        <f>IF(M118="/",人员资源情况!$B$2,任务计划表!M118)</f>
        <v/>
      </c>
      <c r="R118">
        <f>任务计划表!N118</f>
        <v/>
      </c>
      <c r="S118">
        <f>IF(O118=人员资源情况!C$2,1,0)</f>
        <v/>
      </c>
      <c r="T118">
        <f>IF(P118&gt;=人员资源情况!A$2,1,0)</f>
        <v/>
      </c>
      <c r="U118">
        <f>IF(Q118&lt;=人员资源情况!B$2,1,0)</f>
        <v/>
      </c>
      <c r="V118">
        <f>IF(T118*U118,Q118-P118,IF(T118&gt;U118,人员资源情况!B$2-P118,IF(T118&lt;U118,任务计划表!Q118-人员资源情况!A$2,0)))*R118*S118</f>
        <v/>
      </c>
      <c r="W118">
        <f>IF(V118&lt;0,0,V118)</f>
        <v/>
      </c>
    </row>
    <row r="119">
      <c r="E119" t="inlineStr">
        <is>
          <t>亚洲</t>
        </is>
      </c>
      <c r="F119" t="inlineStr">
        <is>
          <t>巴勒斯坦超声户表二开</t>
        </is>
      </c>
      <c r="G119" t="inlineStr">
        <is>
          <t>2026-07-09</t>
        </is>
      </c>
      <c r="H119" t="inlineStr">
        <is>
          <t>2026-08-15</t>
        </is>
      </c>
      <c r="I119" t="inlineStr">
        <is>
          <t>TR5</t>
        </is>
      </c>
      <c r="J119" t="inlineStr">
        <is>
          <t>项目结项评审</t>
        </is>
      </c>
      <c r="K119" t="inlineStr">
        <is>
          <t>@毛文豪(80018842)</t>
        </is>
      </c>
      <c r="L119" t="inlineStr">
        <is>
          <t>2026-08-14</t>
        </is>
      </c>
      <c r="M119" t="inlineStr">
        <is>
          <t>2026-08-15</t>
        </is>
      </c>
      <c r="N119" t="n">
        <v>1</v>
      </c>
      <c r="O119">
        <f>任务计划表!K119</f>
        <v/>
      </c>
      <c r="P119">
        <f>IF(IF(任务计划表!L119="/",人员资源情况!$A$2,L119)&gt;M119,M119,(IF(任务计划表!L119="/",人员资源情况!$A$2,L119)))</f>
        <v/>
      </c>
      <c r="Q119">
        <f>IF(M119="/",人员资源情况!$B$2,任务计划表!M119)</f>
        <v/>
      </c>
      <c r="R119">
        <f>任务计划表!N119</f>
        <v/>
      </c>
      <c r="S119">
        <f>IF(O119=人员资源情况!C$2,1,0)</f>
        <v/>
      </c>
      <c r="T119">
        <f>IF(P119&gt;=人员资源情况!A$2,1,0)</f>
        <v/>
      </c>
      <c r="U119">
        <f>IF(Q119&lt;=人员资源情况!B$2,1,0)</f>
        <v/>
      </c>
      <c r="V119">
        <f>IF(T119*U119,Q119-P119,IF(T119&gt;U119,人员资源情况!B$2-P119,IF(T119&lt;U119,任务计划表!Q119-人员资源情况!A$2,0)))*R119*S119</f>
        <v/>
      </c>
      <c r="W119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2026-07-23T06:53:47Z</dcterms:modified>
  <cp:lastModifiedBy>项家祺</cp:lastModifiedBy>
</cp:coreProperties>
</file>