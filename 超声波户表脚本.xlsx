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E92" t="inlineStr">
        <is>
          <t>测试部门</t>
        </is>
      </c>
      <c r="F92" t="inlineStr">
        <is>
          <t>测试项目</t>
        </is>
      </c>
      <c r="G92" t="inlineStr">
        <is>
          <t>1900-01-01</t>
        </is>
      </c>
      <c r="H92" t="inlineStr">
        <is>
          <t>2100-01-01</t>
        </is>
      </c>
      <c r="I92" t="inlineStr">
        <is>
          <t>TR-TEST-001</t>
        </is>
      </c>
      <c r="J92" t="inlineStr">
        <is>
          <t>固件设计</t>
        </is>
      </c>
      <c r="K92" t="inlineStr">
        <is>
          <t>测试人员B</t>
        </is>
      </c>
      <c r="L92" t="inlineStr">
        <is>
          <t>2026-08-01</t>
        </is>
      </c>
      <c r="M92" t="inlineStr">
        <is>
          <t>2026-08-15</t>
        </is>
      </c>
      <c r="N92" t="n">
        <v>6</v>
      </c>
      <c r="O92">
        <f>任务计划表!K92</f>
        <v/>
      </c>
      <c r="P92">
        <f>IF(IF(任务计划表!L92="/",人员资源情况!$A$2,L92)&gt;M92,M92,(IF(任务计划表!L92="/",人员资源情况!$A$2,L92)))</f>
        <v/>
      </c>
      <c r="Q92">
        <f>IF(M92="/",人员资源情况!$B$2,任务计划表!M92)</f>
        <v/>
      </c>
      <c r="R92">
        <f>任务计划表!N92</f>
        <v/>
      </c>
      <c r="S92">
        <f>IF(O92=人员资源情况!C$2,1,0)</f>
        <v/>
      </c>
      <c r="T92">
        <f>IF(P92&gt;=人员资源情况!A$2,1,0)</f>
        <v/>
      </c>
      <c r="U92">
        <f>IF(Q92&lt;=人员资源情况!B$2,1,0)</f>
        <v/>
      </c>
      <c r="V92">
        <f>IF(T92*U92,Q92-P92,IF(T92&gt;U92,人员资源情况!B$2-P92,IF(T92&lt;U92,任务计划表!Q92-人员资源情况!A$2,0)))*R92*S92</f>
        <v/>
      </c>
      <c r="W92">
        <f>IF(V92&lt;0,0,V92)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2026-07-22T07:07:04Z</dcterms:modified>
  <cp:lastModifiedBy>项家祺</cp:lastModifiedBy>
</cp:coreProperties>
</file>