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E166" t="inlineStr">
        <is>
          <t>欧洲</t>
        </is>
      </c>
      <c r="F166" t="inlineStr">
        <is>
          <t>欧洲短款表</t>
        </is>
      </c>
      <c r="G166" t="inlineStr">
        <is>
          <t>2026-07-13</t>
        </is>
      </c>
      <c r="H166" t="inlineStr">
        <is>
          <t>2027-03-28</t>
        </is>
      </c>
      <c r="I166" t="inlineStr">
        <is>
          <t>TR1</t>
        </is>
      </c>
      <c r="J166" t="inlineStr">
        <is>
          <t>计划阶段</t>
        </is>
      </c>
      <c r="K166" t="inlineStr">
        <is>
          <t>@童景顺(80004217)(童景顺)</t>
        </is>
      </c>
      <c r="L166" t="inlineStr">
        <is>
          <t>2026-07-13</t>
        </is>
      </c>
      <c r="M166" t="inlineStr">
        <is>
          <t>2026-07-18</t>
        </is>
      </c>
      <c r="N166" t="n">
        <v>1</v>
      </c>
      <c r="O166">
        <f>任务计划表!K166</f>
        <v/>
      </c>
      <c r="P166">
        <f>IF(IF(任务计划表!L166="/",人员资源情况!$A$2,L166)&gt;M166,M166,(IF(任务计划表!L166="/",人员资源情况!$A$2,L166)))</f>
        <v/>
      </c>
      <c r="Q166">
        <f>IF(M166="/",人员资源情况!$B$2,任务计划表!M166)</f>
        <v/>
      </c>
      <c r="R166">
        <f>任务计划表!N166</f>
        <v/>
      </c>
      <c r="S166">
        <f>IF(O166=人员资源情况!C$2,1,0)</f>
        <v/>
      </c>
      <c r="T166">
        <f>IF(P166&gt;=人员资源情况!A$2,1,0)</f>
        <v/>
      </c>
      <c r="U166">
        <f>IF(Q166&lt;=人员资源情况!B$2,1,0)</f>
        <v/>
      </c>
      <c r="V166">
        <f>IF(T166*U166,Q166-P166,IF(T166&gt;U166,人员资源情况!B$2-P166,IF(T166&lt;U166,任务计划表!Q166-人员资源情况!A$2,0)))*R166*S166</f>
        <v/>
      </c>
      <c r="W166">
        <f>IF(V166&lt;0,0,V166)</f>
        <v/>
      </c>
    </row>
    <row r="167">
      <c r="E167" t="inlineStr">
        <is>
          <t>欧洲</t>
        </is>
      </c>
      <c r="F167" t="inlineStr">
        <is>
          <t>欧洲短款表</t>
        </is>
      </c>
      <c r="G167" t="inlineStr">
        <is>
          <t>2026-07-13</t>
        </is>
      </c>
      <c r="H167" t="inlineStr">
        <is>
          <t>2027-03-28</t>
        </is>
      </c>
      <c r="I167" t="inlineStr">
        <is>
          <t>TR3</t>
        </is>
      </c>
      <c r="J167" t="inlineStr">
        <is>
          <t>结构概要设计评审</t>
        </is>
      </c>
      <c r="K167" t="inlineStr">
        <is>
          <t xml:space="preserve"> @罗穗安</t>
        </is>
      </c>
      <c r="L167" t="inlineStr">
        <is>
          <t>2026-07-19</t>
        </is>
      </c>
      <c r="M167" t="inlineStr">
        <is>
          <t>2026-08-06</t>
        </is>
      </c>
      <c r="N167" t="n">
        <v>0</v>
      </c>
      <c r="O167">
        <f>任务计划表!K167</f>
        <v/>
      </c>
      <c r="P167">
        <f>IF(IF(任务计划表!L167="/",人员资源情况!$A$2,L167)&gt;M167,M167,(IF(任务计划表!L167="/",人员资源情况!$A$2,L167)))</f>
        <v/>
      </c>
      <c r="Q167">
        <f>IF(M167="/",人员资源情况!$B$2,任务计划表!M167)</f>
        <v/>
      </c>
      <c r="R167">
        <f>任务计划表!N167</f>
        <v/>
      </c>
      <c r="S167">
        <f>IF(O167=人员资源情况!C$2,1,0)</f>
        <v/>
      </c>
      <c r="T167">
        <f>IF(P167&gt;=人员资源情况!A$2,1,0)</f>
        <v/>
      </c>
      <c r="U167">
        <f>IF(Q167&lt;=人员资源情况!B$2,1,0)</f>
        <v/>
      </c>
      <c r="V167">
        <f>IF(T167*U167,Q167-P167,IF(T167&gt;U167,人员资源情况!B$2-P167,IF(T167&lt;U167,任务计划表!Q167-人员资源情况!A$2,0)))*R167*S167</f>
        <v/>
      </c>
      <c r="W167">
        <f>IF(V167&lt;0,0,V167)</f>
        <v/>
      </c>
    </row>
    <row r="168">
      <c r="E168" t="inlineStr">
        <is>
          <t>欧洲</t>
        </is>
      </c>
      <c r="F168" t="inlineStr">
        <is>
          <t>欧洲短款表</t>
        </is>
      </c>
      <c r="G168" t="inlineStr">
        <is>
          <t>2026-07-13</t>
        </is>
      </c>
      <c r="H168" t="inlineStr">
        <is>
          <t>2027-03-28</t>
        </is>
      </c>
      <c r="I168" t="inlineStr">
        <is>
          <t>TR3</t>
        </is>
      </c>
      <c r="J168" t="inlineStr">
        <is>
          <t>硬件概要设计评审</t>
        </is>
      </c>
      <c r="K168" t="inlineStr">
        <is>
          <t>@童景顺(80004217)(童景顺)</t>
        </is>
      </c>
      <c r="L168" t="inlineStr">
        <is>
          <t>2026-07-18</t>
        </is>
      </c>
      <c r="M168" t="inlineStr">
        <is>
          <t>2026-08-06</t>
        </is>
      </c>
      <c r="N168" t="n">
        <v>2</v>
      </c>
      <c r="O168">
        <f>任务计划表!K168</f>
        <v/>
      </c>
      <c r="P168">
        <f>IF(IF(任务计划表!L168="/",人员资源情况!$A$2,L168)&gt;M168,M168,(IF(任务计划表!L168="/",人员资源情况!$A$2,L168)))</f>
        <v/>
      </c>
      <c r="Q168">
        <f>IF(M168="/",人员资源情况!$B$2,任务计划表!M168)</f>
        <v/>
      </c>
      <c r="R168">
        <f>任务计划表!N168</f>
        <v/>
      </c>
      <c r="S168">
        <f>IF(O168=人员资源情况!C$2,1,0)</f>
        <v/>
      </c>
      <c r="T168">
        <f>IF(P168&gt;=人员资源情况!A$2,1,0)</f>
        <v/>
      </c>
      <c r="U168">
        <f>IF(Q168&lt;=人员资源情况!B$2,1,0)</f>
        <v/>
      </c>
      <c r="V168">
        <f>IF(T168*U168,Q168-P168,IF(T168&gt;U168,人员资源情况!B$2-P168,IF(T168&lt;U168,任务计划表!Q168-人员资源情况!A$2,0)))*R168*S168</f>
        <v/>
      </c>
      <c r="W168">
        <f>IF(V168&lt;0,0,V168)</f>
        <v/>
      </c>
    </row>
    <row r="169">
      <c r="E169" t="inlineStr">
        <is>
          <t>欧洲</t>
        </is>
      </c>
      <c r="F169" t="inlineStr">
        <is>
          <t>欧洲短款表</t>
        </is>
      </c>
      <c r="G169" t="inlineStr">
        <is>
          <t>2026-07-13</t>
        </is>
      </c>
      <c r="H169" t="inlineStr">
        <is>
          <t>2027-03-28</t>
        </is>
      </c>
      <c r="I169" t="inlineStr">
        <is>
          <t>TR3</t>
        </is>
      </c>
      <c r="J169" t="inlineStr">
        <is>
          <t>固件概要设计评审</t>
        </is>
      </c>
      <c r="K169" t="inlineStr">
        <is>
          <t>@项家祺(80004213)(项家祺)</t>
        </is>
      </c>
      <c r="L169" t="inlineStr">
        <is>
          <t>2026-07-18</t>
        </is>
      </c>
      <c r="M169" t="inlineStr">
        <is>
          <t>2026-08-07</t>
        </is>
      </c>
      <c r="N169" t="n">
        <v>2</v>
      </c>
      <c r="O169">
        <f>任务计划表!K169</f>
        <v/>
      </c>
      <c r="P169">
        <f>IF(IF(任务计划表!L169="/",人员资源情况!$A$2,L169)&gt;M169,M169,(IF(任务计划表!L169="/",人员资源情况!$A$2,L169)))</f>
        <v/>
      </c>
      <c r="Q169">
        <f>IF(M169="/",人员资源情况!$B$2,任务计划表!M169)</f>
        <v/>
      </c>
      <c r="R169">
        <f>任务计划表!N169</f>
        <v/>
      </c>
      <c r="S169">
        <f>IF(O169=人员资源情况!C$2,1,0)</f>
        <v/>
      </c>
      <c r="T169">
        <f>IF(P169&gt;=人员资源情况!A$2,1,0)</f>
        <v/>
      </c>
      <c r="U169">
        <f>IF(Q169&lt;=人员资源情况!B$2,1,0)</f>
        <v/>
      </c>
      <c r="V169">
        <f>IF(T169*U169,Q169-P169,IF(T169&gt;U169,人员资源情况!B$2-P169,IF(T169&lt;U169,任务计划表!Q169-人员资源情况!A$2,0)))*R169*S169</f>
        <v/>
      </c>
      <c r="W169">
        <f>IF(V169&lt;0,0,V169)</f>
        <v/>
      </c>
    </row>
    <row r="170">
      <c r="E170" t="inlineStr">
        <is>
          <t>欧洲</t>
        </is>
      </c>
      <c r="F170" t="inlineStr">
        <is>
          <t>欧洲短款表</t>
        </is>
      </c>
      <c r="G170" t="inlineStr">
        <is>
          <t>2026-07-13</t>
        </is>
      </c>
      <c r="H170" t="inlineStr">
        <is>
          <t>2027-03-28</t>
        </is>
      </c>
      <c r="I170" t="inlineStr">
        <is>
          <t>TR4</t>
        </is>
      </c>
      <c r="J170" t="inlineStr">
        <is>
          <t>结构详细设计评审</t>
        </is>
      </c>
      <c r="K170" t="inlineStr">
        <is>
          <t>@罗穗安</t>
        </is>
      </c>
      <c r="L170" t="inlineStr">
        <is>
          <t>2026-08-07</t>
        </is>
      </c>
      <c r="M170" t="inlineStr">
        <is>
          <t>2026-08-12</t>
        </is>
      </c>
      <c r="N170" t="n">
        <v>2</v>
      </c>
      <c r="O170">
        <f>任务计划表!K170</f>
        <v/>
      </c>
      <c r="P170">
        <f>IF(IF(任务计划表!L170="/",人员资源情况!$A$2,L170)&gt;M170,M170,(IF(任务计划表!L170="/",人员资源情况!$A$2,L170)))</f>
        <v/>
      </c>
      <c r="Q170">
        <f>IF(M170="/",人员资源情况!$B$2,任务计划表!M170)</f>
        <v/>
      </c>
      <c r="R170">
        <f>任务计划表!N170</f>
        <v/>
      </c>
      <c r="S170">
        <f>IF(O170=人员资源情况!C$2,1,0)</f>
        <v/>
      </c>
      <c r="T170">
        <f>IF(P170&gt;=人员资源情况!A$2,1,0)</f>
        <v/>
      </c>
      <c r="U170">
        <f>IF(Q170&lt;=人员资源情况!B$2,1,0)</f>
        <v/>
      </c>
      <c r="V170">
        <f>IF(T170*U170,Q170-P170,IF(T170&gt;U170,人员资源情况!B$2-P170,IF(T170&lt;U170,任务计划表!Q170-人员资源情况!A$2,0)))*R170*S170</f>
        <v/>
      </c>
      <c r="W170">
        <f>IF(V170&lt;0,0,V170)</f>
        <v/>
      </c>
    </row>
    <row r="171">
      <c r="E171" t="inlineStr">
        <is>
          <t>欧洲</t>
        </is>
      </c>
      <c r="F171" t="inlineStr">
        <is>
          <t>欧洲短款表</t>
        </is>
      </c>
      <c r="G171" t="inlineStr">
        <is>
          <t>2026-07-13</t>
        </is>
      </c>
      <c r="H171" t="inlineStr">
        <is>
          <t>2027-03-28</t>
        </is>
      </c>
      <c r="I171" t="inlineStr">
        <is>
          <t>TR4</t>
        </is>
      </c>
      <c r="J171" t="inlineStr">
        <is>
          <t>开模</t>
        </is>
      </c>
      <c r="K171" t="inlineStr">
        <is>
          <t>@罗穗安</t>
        </is>
      </c>
      <c r="L171" t="inlineStr">
        <is>
          <t>2026-08-13</t>
        </is>
      </c>
      <c r="M171" t="inlineStr">
        <is>
          <t>2026-09-21</t>
        </is>
      </c>
      <c r="N171" t="n">
        <v>2</v>
      </c>
      <c r="O171">
        <f>任务计划表!K171</f>
        <v/>
      </c>
      <c r="P171">
        <f>IF(IF(任务计划表!L171="/",人员资源情况!$A$2,L171)&gt;M171,M171,(IF(任务计划表!L171="/",人员资源情况!$A$2,L171)))</f>
        <v/>
      </c>
      <c r="Q171">
        <f>IF(M171="/",人员资源情况!$B$2,任务计划表!M171)</f>
        <v/>
      </c>
      <c r="R171">
        <f>任务计划表!N171</f>
        <v/>
      </c>
      <c r="S171">
        <f>IF(O171=人员资源情况!C$2,1,0)</f>
        <v/>
      </c>
      <c r="T171">
        <f>IF(P171&gt;=人员资源情况!A$2,1,0)</f>
        <v/>
      </c>
      <c r="U171">
        <f>IF(Q171&lt;=人员资源情况!B$2,1,0)</f>
        <v/>
      </c>
      <c r="V171">
        <f>IF(T171*U171,Q171-P171,IF(T171&gt;U171,人员资源情况!B$2-P171,IF(T171&lt;U171,任务计划表!Q171-人员资源情况!A$2,0)))*R171*S171</f>
        <v/>
      </c>
      <c r="W171">
        <f>IF(V171&lt;0,0,V171)</f>
        <v/>
      </c>
    </row>
    <row r="172">
      <c r="E172" t="inlineStr">
        <is>
          <t>欧洲</t>
        </is>
      </c>
      <c r="F172" t="inlineStr">
        <is>
          <t>欧洲短款表</t>
        </is>
      </c>
      <c r="G172" t="inlineStr">
        <is>
          <t>2026-07-13</t>
        </is>
      </c>
      <c r="H172" t="inlineStr">
        <is>
          <t>2027-03-28</t>
        </is>
      </c>
      <c r="I172" t="inlineStr">
        <is>
          <t>TR4</t>
        </is>
      </c>
      <c r="J172" t="inlineStr">
        <is>
          <t>物料编码申请</t>
        </is>
      </c>
      <c r="K172" t="inlineStr">
        <is>
          <t>@罗穗安</t>
        </is>
      </c>
      <c r="L172" t="inlineStr">
        <is>
          <t>2026-09-22</t>
        </is>
      </c>
      <c r="M172" t="inlineStr">
        <is>
          <t>2026-09-24</t>
        </is>
      </c>
      <c r="N172" t="n">
        <v>0</v>
      </c>
      <c r="O172">
        <f>任务计划表!K172</f>
        <v/>
      </c>
      <c r="P172">
        <f>IF(IF(任务计划表!L172="/",人员资源情况!$A$2,L172)&gt;M172,M172,(IF(任务计划表!L172="/",人员资源情况!$A$2,L172)))</f>
        <v/>
      </c>
      <c r="Q172">
        <f>IF(M172="/",人员资源情况!$B$2,任务计划表!M172)</f>
        <v/>
      </c>
      <c r="R172">
        <f>任务计划表!N172</f>
        <v/>
      </c>
      <c r="S172">
        <f>IF(O172=人员资源情况!C$2,1,0)</f>
        <v/>
      </c>
      <c r="T172">
        <f>IF(P172&gt;=人员资源情况!A$2,1,0)</f>
        <v/>
      </c>
      <c r="U172">
        <f>IF(Q172&lt;=人员资源情况!B$2,1,0)</f>
        <v/>
      </c>
      <c r="V172">
        <f>IF(T172*U172,Q172-P172,IF(T172&gt;U172,人员资源情况!B$2-P172,IF(T172&lt;U172,任务计划表!Q172-人员资源情况!A$2,0)))*R172*S172</f>
        <v/>
      </c>
      <c r="W172">
        <f>IF(V172&lt;0,0,V172)</f>
        <v/>
      </c>
    </row>
    <row r="173">
      <c r="E173" t="inlineStr">
        <is>
          <t>欧洲</t>
        </is>
      </c>
      <c r="F173" t="inlineStr">
        <is>
          <t>欧洲短款表</t>
        </is>
      </c>
      <c r="G173" t="inlineStr">
        <is>
          <t>2026-07-13</t>
        </is>
      </c>
      <c r="H173" t="inlineStr">
        <is>
          <t>2027-03-28</t>
        </is>
      </c>
      <c r="I173" t="inlineStr">
        <is>
          <t>TR4</t>
        </is>
      </c>
      <c r="J173" t="inlineStr">
        <is>
          <t>模具验证</t>
        </is>
      </c>
      <c r="K173" t="inlineStr">
        <is>
          <t>@罗穗安</t>
        </is>
      </c>
      <c r="L173" t="inlineStr">
        <is>
          <t>2026-09-25</t>
        </is>
      </c>
      <c r="M173" t="inlineStr">
        <is>
          <t>2026-09-27</t>
        </is>
      </c>
      <c r="N173" t="n">
        <v>2</v>
      </c>
      <c r="O173">
        <f>任务计划表!K173</f>
        <v/>
      </c>
      <c r="P173">
        <f>IF(IF(任务计划表!L173="/",人员资源情况!$A$2,L173)&gt;M173,M173,(IF(任务计划表!L173="/",人员资源情况!$A$2,L173)))</f>
        <v/>
      </c>
      <c r="Q173">
        <f>IF(M173="/",人员资源情况!$B$2,任务计划表!M173)</f>
        <v/>
      </c>
      <c r="R173">
        <f>任务计划表!N173</f>
        <v/>
      </c>
      <c r="S173">
        <f>IF(O173=人员资源情况!C$2,1,0)</f>
        <v/>
      </c>
      <c r="T173">
        <f>IF(P173&gt;=人员资源情况!A$2,1,0)</f>
        <v/>
      </c>
      <c r="U173">
        <f>IF(Q173&lt;=人员资源情况!B$2,1,0)</f>
        <v/>
      </c>
      <c r="V173">
        <f>IF(T173*U173,Q173-P173,IF(T173&gt;U173,人员资源情况!B$2-P173,IF(T173&lt;U173,任务计划表!Q173-人员资源情况!A$2,0)))*R173*S173</f>
        <v/>
      </c>
      <c r="W173">
        <f>IF(V173&lt;0,0,V173)</f>
        <v/>
      </c>
    </row>
    <row r="174">
      <c r="E174" t="inlineStr">
        <is>
          <t>欧洲</t>
        </is>
      </c>
      <c r="F174" t="inlineStr">
        <is>
          <t>欧洲短款表</t>
        </is>
      </c>
      <c r="G174" t="inlineStr">
        <is>
          <t>2026-07-13</t>
        </is>
      </c>
      <c r="H174" t="inlineStr">
        <is>
          <t>2027-03-28</t>
        </is>
      </c>
      <c r="I174" t="inlineStr">
        <is>
          <t>TR4</t>
        </is>
      </c>
      <c r="J174" t="inlineStr">
        <is>
          <t>修模</t>
        </is>
      </c>
      <c r="K174" t="inlineStr">
        <is>
          <t>@罗穗安</t>
        </is>
      </c>
      <c r="L174" t="inlineStr">
        <is>
          <t>2026-09-28</t>
        </is>
      </c>
      <c r="M174" t="inlineStr">
        <is>
          <t>2026-10-12</t>
        </is>
      </c>
      <c r="N174" t="n">
        <v>2</v>
      </c>
      <c r="O174">
        <f>任务计划表!K174</f>
        <v/>
      </c>
      <c r="P174">
        <f>IF(IF(任务计划表!L174="/",人员资源情况!$A$2,L174)&gt;M174,M174,(IF(任务计划表!L174="/",人员资源情况!$A$2,L174)))</f>
        <v/>
      </c>
      <c r="Q174">
        <f>IF(M174="/",人员资源情况!$B$2,任务计划表!M174)</f>
        <v/>
      </c>
      <c r="R174">
        <f>任务计划表!N174</f>
        <v/>
      </c>
      <c r="S174">
        <f>IF(O174=人员资源情况!C$2,1,0)</f>
        <v/>
      </c>
      <c r="T174">
        <f>IF(P174&gt;=人员资源情况!A$2,1,0)</f>
        <v/>
      </c>
      <c r="U174">
        <f>IF(Q174&lt;=人员资源情况!B$2,1,0)</f>
        <v/>
      </c>
      <c r="V174">
        <f>IF(T174*U174,Q174-P174,IF(T174&gt;U174,人员资源情况!B$2-P174,IF(T174&lt;U174,任务计划表!Q174-人员资源情况!A$2,0)))*R174*S174</f>
        <v/>
      </c>
      <c r="W174">
        <f>IF(V174&lt;0,0,V174)</f>
        <v/>
      </c>
    </row>
    <row r="175">
      <c r="E175" t="inlineStr">
        <is>
          <t>欧洲</t>
        </is>
      </c>
      <c r="F175" t="inlineStr">
        <is>
          <t>欧洲短款表</t>
        </is>
      </c>
      <c r="G175" t="inlineStr">
        <is>
          <t>2026-07-13</t>
        </is>
      </c>
      <c r="H175" t="inlineStr">
        <is>
          <t>2027-03-28</t>
        </is>
      </c>
      <c r="I175" t="inlineStr">
        <is>
          <t>TR4</t>
        </is>
      </c>
      <c r="J175" t="inlineStr">
        <is>
          <t>硬件详细设计评审</t>
        </is>
      </c>
      <c r="K175" t="inlineStr">
        <is>
          <t>@童景顺(80004217)(童景顺)</t>
        </is>
      </c>
      <c r="L175" t="inlineStr">
        <is>
          <t>2026-08-06</t>
        </is>
      </c>
      <c r="M175" t="inlineStr">
        <is>
          <t>2026-08-09</t>
        </is>
      </c>
      <c r="N175" t="n">
        <v>4</v>
      </c>
      <c r="O175">
        <f>任务计划表!K175</f>
        <v/>
      </c>
      <c r="P175">
        <f>IF(IF(任务计划表!L175="/",人员资源情况!$A$2,L175)&gt;M175,M175,(IF(任务计划表!L175="/",人员资源情况!$A$2,L175)))</f>
        <v/>
      </c>
      <c r="Q175">
        <f>IF(M175="/",人员资源情况!$B$2,任务计划表!M175)</f>
        <v/>
      </c>
      <c r="R175">
        <f>任务计划表!N175</f>
        <v/>
      </c>
      <c r="S175">
        <f>IF(O175=人员资源情况!C$2,1,0)</f>
        <v/>
      </c>
      <c r="T175">
        <f>IF(P175&gt;=人员资源情况!A$2,1,0)</f>
        <v/>
      </c>
      <c r="U175">
        <f>IF(Q175&lt;=人员资源情况!B$2,1,0)</f>
        <v/>
      </c>
      <c r="V175">
        <f>IF(T175*U175,Q175-P175,IF(T175&gt;U175,人员资源情况!B$2-P175,IF(T175&lt;U175,任务计划表!Q175-人员资源情况!A$2,0)))*R175*S175</f>
        <v/>
      </c>
      <c r="W175">
        <f>IF(V175&lt;0,0,V175)</f>
        <v/>
      </c>
    </row>
    <row r="176">
      <c r="E176" t="inlineStr">
        <is>
          <t>欧洲</t>
        </is>
      </c>
      <c r="F176" t="inlineStr">
        <is>
          <t>欧洲短款表</t>
        </is>
      </c>
      <c r="G176" t="inlineStr">
        <is>
          <t>2026-07-13</t>
        </is>
      </c>
      <c r="H176" t="inlineStr">
        <is>
          <t>2027-03-28</t>
        </is>
      </c>
      <c r="I176" t="inlineStr">
        <is>
          <t>TR4</t>
        </is>
      </c>
      <c r="J176" t="inlineStr">
        <is>
          <t>物料编码申请</t>
        </is>
      </c>
      <c r="K176" t="inlineStr">
        <is>
          <t>@童景顺(80004217)(童景顺)</t>
        </is>
      </c>
      <c r="L176" t="inlineStr">
        <is>
          <t>2026-08-10</t>
        </is>
      </c>
      <c r="M176" t="inlineStr">
        <is>
          <t>2026-08-10</t>
        </is>
      </c>
      <c r="N176" t="n">
        <v>1</v>
      </c>
      <c r="O176">
        <f>任务计划表!K176</f>
        <v/>
      </c>
      <c r="P176">
        <f>IF(IF(任务计划表!L176="/",人员资源情况!$A$2,L176)&gt;M176,M176,(IF(任务计划表!L176="/",人员资源情况!$A$2,L176)))</f>
        <v/>
      </c>
      <c r="Q176">
        <f>IF(M176="/",人员资源情况!$B$2,任务计划表!M176)</f>
        <v/>
      </c>
      <c r="R176">
        <f>任务计划表!N176</f>
        <v/>
      </c>
      <c r="S176">
        <f>IF(O176=人员资源情况!C$2,1,0)</f>
        <v/>
      </c>
      <c r="T176">
        <f>IF(P176&gt;=人员资源情况!A$2,1,0)</f>
        <v/>
      </c>
      <c r="U176">
        <f>IF(Q176&lt;=人员资源情况!B$2,1,0)</f>
        <v/>
      </c>
      <c r="V176">
        <f>IF(T176*U176,Q176-P176,IF(T176&gt;U176,人员资源情况!B$2-P176,IF(T176&lt;U176,任务计划表!Q176-人员资源情况!A$2,0)))*R176*S176</f>
        <v/>
      </c>
      <c r="W176">
        <f>IF(V176&lt;0,0,V176)</f>
        <v/>
      </c>
    </row>
    <row r="177">
      <c r="E177" t="inlineStr">
        <is>
          <t>欧洲</t>
        </is>
      </c>
      <c r="F177" t="inlineStr">
        <is>
          <t>欧洲短款表</t>
        </is>
      </c>
      <c r="G177" t="inlineStr">
        <is>
          <t>2026-07-13</t>
        </is>
      </c>
      <c r="H177" t="inlineStr">
        <is>
          <t>2027-03-28</t>
        </is>
      </c>
      <c r="I177" t="inlineStr">
        <is>
          <t>TR4</t>
        </is>
      </c>
      <c r="J177" t="inlineStr">
        <is>
          <t>BOM评审</t>
        </is>
      </c>
      <c r="K177" t="inlineStr">
        <is>
          <t>@童景顺(80004217)(童景顺)</t>
        </is>
      </c>
      <c r="L177" t="inlineStr">
        <is>
          <t>2026-08-09</t>
        </is>
      </c>
      <c r="M177" t="inlineStr">
        <is>
          <t>2026-08-09</t>
        </is>
      </c>
      <c r="N177" t="n">
        <v>1</v>
      </c>
      <c r="O177">
        <f>任务计划表!K177</f>
        <v/>
      </c>
      <c r="P177">
        <f>IF(IF(任务计划表!L177="/",人员资源情况!$A$2,L177)&gt;M177,M177,(IF(任务计划表!L177="/",人员资源情况!$A$2,L177)))</f>
        <v/>
      </c>
      <c r="Q177">
        <f>IF(M177="/",人员资源情况!$B$2,任务计划表!M177)</f>
        <v/>
      </c>
      <c r="R177">
        <f>任务计划表!N177</f>
        <v/>
      </c>
      <c r="S177">
        <f>IF(O177=人员资源情况!C$2,1,0)</f>
        <v/>
      </c>
      <c r="T177">
        <f>IF(P177&gt;=人员资源情况!A$2,1,0)</f>
        <v/>
      </c>
      <c r="U177">
        <f>IF(Q177&lt;=人员资源情况!B$2,1,0)</f>
        <v/>
      </c>
      <c r="V177">
        <f>IF(T177*U177,Q177-P177,IF(T177&gt;U177,人员资源情况!B$2-P177,IF(T177&lt;U177,任务计划表!Q177-人员资源情况!A$2,0)))*R177*S177</f>
        <v/>
      </c>
      <c r="W177">
        <f>IF(V177&lt;0,0,V177)</f>
        <v/>
      </c>
    </row>
    <row r="178">
      <c r="E178" t="inlineStr">
        <is>
          <t>欧洲</t>
        </is>
      </c>
      <c r="F178" t="inlineStr">
        <is>
          <t>欧洲短款表</t>
        </is>
      </c>
      <c r="G178" t="inlineStr">
        <is>
          <t>2026-07-13</t>
        </is>
      </c>
      <c r="H178" t="inlineStr">
        <is>
          <t>2027-03-28</t>
        </is>
      </c>
      <c r="I178" t="inlineStr">
        <is>
          <t>TR4</t>
        </is>
      </c>
      <c r="J178" t="inlineStr">
        <is>
          <t>硬件详细设计文档归档</t>
        </is>
      </c>
      <c r="K178" t="inlineStr">
        <is>
          <t>@童景顺(80004217)(童景顺)</t>
        </is>
      </c>
      <c r="L178" t="inlineStr">
        <is>
          <t>2026-09-13</t>
        </is>
      </c>
      <c r="M178" t="inlineStr">
        <is>
          <t>2026-09-13</t>
        </is>
      </c>
      <c r="N178" t="n">
        <v>1</v>
      </c>
      <c r="O178">
        <f>任务计划表!K178</f>
        <v/>
      </c>
      <c r="P178">
        <f>IF(IF(任务计划表!L178="/",人员资源情况!$A$2,L178)&gt;M178,M178,(IF(任务计划表!L178="/",人员资源情况!$A$2,L178)))</f>
        <v/>
      </c>
      <c r="Q178">
        <f>IF(M178="/",人员资源情况!$B$2,任务计划表!M178)</f>
        <v/>
      </c>
      <c r="R178">
        <f>任务计划表!N178</f>
        <v/>
      </c>
      <c r="S178">
        <f>IF(O178=人员资源情况!C$2,1,0)</f>
        <v/>
      </c>
      <c r="T178">
        <f>IF(P178&gt;=人员资源情况!A$2,1,0)</f>
        <v/>
      </c>
      <c r="U178">
        <f>IF(Q178&lt;=人员资源情况!B$2,1,0)</f>
        <v/>
      </c>
      <c r="V178">
        <f>IF(T178*U178,Q178-P178,IF(T178&gt;U178,人员资源情况!B$2-P178,IF(T178&lt;U178,任务计划表!Q178-人员资源情况!A$2,0)))*R178*S178</f>
        <v/>
      </c>
      <c r="W178">
        <f>IF(V178&lt;0,0,V178)</f>
        <v/>
      </c>
    </row>
    <row r="179">
      <c r="E179" t="inlineStr">
        <is>
          <t>欧洲</t>
        </is>
      </c>
      <c r="F179" t="inlineStr">
        <is>
          <t>欧洲短款表</t>
        </is>
      </c>
      <c r="G179" t="inlineStr">
        <is>
          <t>2026-07-13</t>
        </is>
      </c>
      <c r="H179" t="inlineStr">
        <is>
          <t>2027-03-28</t>
        </is>
      </c>
      <c r="I179" t="inlineStr">
        <is>
          <t>TR4</t>
        </is>
      </c>
      <c r="J179" t="inlineStr">
        <is>
          <t>SDK-CBB开发</t>
        </is>
      </c>
      <c r="K179" t="inlineStr">
        <is>
          <t>@袁琮欣(80015786)(袁琮欣)</t>
        </is>
      </c>
      <c r="L179" t="inlineStr">
        <is>
          <t>2026-08-09</t>
        </is>
      </c>
      <c r="M179" t="inlineStr">
        <is>
          <t>2026-08-12</t>
        </is>
      </c>
      <c r="N179" t="n">
        <v>6</v>
      </c>
      <c r="O179">
        <f>任务计划表!K179</f>
        <v/>
      </c>
      <c r="P179">
        <f>IF(IF(任务计划表!L179="/",人员资源情况!$A$2,L179)&gt;M179,M179,(IF(任务计划表!L179="/",人员资源情况!$A$2,L179)))</f>
        <v/>
      </c>
      <c r="Q179">
        <f>IF(M179="/",人员资源情况!$B$2,任务计划表!M179)</f>
        <v/>
      </c>
      <c r="R179">
        <f>任务计划表!N179</f>
        <v/>
      </c>
      <c r="S179">
        <f>IF(O179=人员资源情况!C$2,1,0)</f>
        <v/>
      </c>
      <c r="T179">
        <f>IF(P179&gt;=人员资源情况!A$2,1,0)</f>
        <v/>
      </c>
      <c r="U179">
        <f>IF(Q179&lt;=人员资源情况!B$2,1,0)</f>
        <v/>
      </c>
      <c r="V179">
        <f>IF(T179*U179,Q179-P179,IF(T179&gt;U179,人员资源情况!B$2-P179,IF(T179&lt;U179,任务计划表!Q179-人员资源情况!A$2,0)))*R179*S179</f>
        <v/>
      </c>
      <c r="W179">
        <f>IF(V179&lt;0,0,V179)</f>
        <v/>
      </c>
    </row>
    <row r="180">
      <c r="E180" t="inlineStr">
        <is>
          <t>欧洲</t>
        </is>
      </c>
      <c r="F180" t="inlineStr">
        <is>
          <t>欧洲短款表</t>
        </is>
      </c>
      <c r="G180" t="inlineStr">
        <is>
          <t>2026-07-13</t>
        </is>
      </c>
      <c r="H180" t="inlineStr">
        <is>
          <t>2027-03-28</t>
        </is>
      </c>
      <c r="I180" t="inlineStr">
        <is>
          <t>TR4</t>
        </is>
      </c>
      <c r="J180" t="inlineStr">
        <is>
          <t>计量开发</t>
        </is>
      </c>
      <c r="K180" t="inlineStr">
        <is>
          <t>@袁琮欣(80015786)(袁琮欣)</t>
        </is>
      </c>
      <c r="L180" t="inlineStr">
        <is>
          <t>2026-08-09</t>
        </is>
      </c>
      <c r="M180" t="inlineStr">
        <is>
          <t>2026-08-12</t>
        </is>
      </c>
      <c r="N180" t="n">
        <v>6</v>
      </c>
      <c r="O180">
        <f>任务计划表!K180</f>
        <v/>
      </c>
      <c r="P180">
        <f>IF(IF(任务计划表!L180="/",人员资源情况!$A$2,L180)&gt;M180,M180,(IF(任务计划表!L180="/",人员资源情况!$A$2,L180)))</f>
        <v/>
      </c>
      <c r="Q180">
        <f>IF(M180="/",人员资源情况!$B$2,任务计划表!M180)</f>
        <v/>
      </c>
      <c r="R180">
        <f>任务计划表!N180</f>
        <v/>
      </c>
      <c r="S180">
        <f>IF(O180=人员资源情况!C$2,1,0)</f>
        <v/>
      </c>
      <c r="T180">
        <f>IF(P180&gt;=人员资源情况!A$2,1,0)</f>
        <v/>
      </c>
      <c r="U180">
        <f>IF(Q180&lt;=人员资源情况!B$2,1,0)</f>
        <v/>
      </c>
      <c r="V180">
        <f>IF(T180*U180,Q180-P180,IF(T180&gt;U180,人员资源情况!B$2-P180,IF(T180&lt;U180,任务计划表!Q180-人员资源情况!A$2,0)))*R180*S180</f>
        <v/>
      </c>
      <c r="W180">
        <f>IF(V180&lt;0,0,V180)</f>
        <v/>
      </c>
    </row>
    <row r="181">
      <c r="E181" t="inlineStr">
        <is>
          <t>欧洲</t>
        </is>
      </c>
      <c r="F181" t="inlineStr">
        <is>
          <t>欧洲短款表</t>
        </is>
      </c>
      <c r="G181" t="inlineStr">
        <is>
          <t>2026-07-13</t>
        </is>
      </c>
      <c r="H181" t="inlineStr">
        <is>
          <t>2027-03-28</t>
        </is>
      </c>
      <c r="I181" t="inlineStr">
        <is>
          <t>TR4</t>
        </is>
      </c>
      <c r="J181" t="inlineStr">
        <is>
          <t>显示开发</t>
        </is>
      </c>
      <c r="K181" t="inlineStr">
        <is>
          <t>@李昊龙(80016809)</t>
        </is>
      </c>
      <c r="L181" t="inlineStr">
        <is>
          <t>2026-08-13</t>
        </is>
      </c>
      <c r="M181" t="inlineStr">
        <is>
          <t>2026-08-16</t>
        </is>
      </c>
      <c r="N181" t="n">
        <v>6</v>
      </c>
      <c r="O181">
        <f>任务计划表!K181</f>
        <v/>
      </c>
      <c r="P181">
        <f>IF(IF(任务计划表!L181="/",人员资源情况!$A$2,L181)&gt;M181,M181,(IF(任务计划表!L181="/",人员资源情况!$A$2,L181)))</f>
        <v/>
      </c>
      <c r="Q181">
        <f>IF(M181="/",人员资源情况!$B$2,任务计划表!M181)</f>
        <v/>
      </c>
      <c r="R181">
        <f>任务计划表!N181</f>
        <v/>
      </c>
      <c r="S181">
        <f>IF(O181=人员资源情况!C$2,1,0)</f>
        <v/>
      </c>
      <c r="T181">
        <f>IF(P181&gt;=人员资源情况!A$2,1,0)</f>
        <v/>
      </c>
      <c r="U181">
        <f>IF(Q181&lt;=人员资源情况!B$2,1,0)</f>
        <v/>
      </c>
      <c r="V181">
        <f>IF(T181*U181,Q181-P181,IF(T181&gt;U181,人员资源情况!B$2-P181,IF(T181&lt;U181,任务计划表!Q181-人员资源情况!A$2,0)))*R181*S181</f>
        <v/>
      </c>
      <c r="W181">
        <f>IF(V181&lt;0,0,V181)</f>
        <v/>
      </c>
    </row>
    <row r="182">
      <c r="E182" t="inlineStr">
        <is>
          <t>欧洲</t>
        </is>
      </c>
      <c r="F182" t="inlineStr">
        <is>
          <t>欧洲短款表</t>
        </is>
      </c>
      <c r="G182" t="inlineStr">
        <is>
          <t>2026-07-13</t>
        </is>
      </c>
      <c r="H182" t="inlineStr">
        <is>
          <t>2027-03-28</t>
        </is>
      </c>
      <c r="I182" t="inlineStr">
        <is>
          <t>TR4</t>
        </is>
      </c>
      <c r="J182" t="inlineStr">
        <is>
          <t>控制开发</t>
        </is>
      </c>
      <c r="K182" t="inlineStr">
        <is>
          <t>@李昊龙(80016809)</t>
        </is>
      </c>
      <c r="L182" t="inlineStr">
        <is>
          <t>2026-08-13</t>
        </is>
      </c>
      <c r="M182" t="inlineStr">
        <is>
          <t>2026-08-19</t>
        </is>
      </c>
      <c r="N182" t="n">
        <v>6</v>
      </c>
      <c r="O182">
        <f>任务计划表!K182</f>
        <v/>
      </c>
      <c r="P182">
        <f>IF(IF(任务计划表!L182="/",人员资源情况!$A$2,L182)&gt;M182,M182,(IF(任务计划表!L182="/",人员资源情况!$A$2,L182)))</f>
        <v/>
      </c>
      <c r="Q182">
        <f>IF(M182="/",人员资源情况!$B$2,任务计划表!M182)</f>
        <v/>
      </c>
      <c r="R182">
        <f>任务计划表!N182</f>
        <v/>
      </c>
      <c r="S182">
        <f>IF(O182=人员资源情况!C$2,1,0)</f>
        <v/>
      </c>
      <c r="T182">
        <f>IF(P182&gt;=人员资源情况!A$2,1,0)</f>
        <v/>
      </c>
      <c r="U182">
        <f>IF(Q182&lt;=人员资源情况!B$2,1,0)</f>
        <v/>
      </c>
      <c r="V182">
        <f>IF(T182*U182,Q182-P182,IF(T182&gt;U182,人员资源情况!B$2-P182,IF(T182&lt;U182,任务计划表!Q182-人员资源情况!A$2,0)))*R182*S182</f>
        <v/>
      </c>
      <c r="W182">
        <f>IF(V182&lt;0,0,V182)</f>
        <v/>
      </c>
    </row>
    <row r="183">
      <c r="E183" t="inlineStr">
        <is>
          <t>欧洲</t>
        </is>
      </c>
      <c r="F183" t="inlineStr">
        <is>
          <t>欧洲短款表</t>
        </is>
      </c>
      <c r="G183" t="inlineStr">
        <is>
          <t>2026-07-13</t>
        </is>
      </c>
      <c r="H183" t="inlineStr">
        <is>
          <t>2027-03-28</t>
        </is>
      </c>
      <c r="I183" t="inlineStr">
        <is>
          <t>TR4</t>
        </is>
      </c>
      <c r="J183" t="inlineStr">
        <is>
          <t>通讯开发</t>
        </is>
      </c>
      <c r="K183" t="inlineStr">
        <is>
          <t>@袁琮欣(80015786)(袁琮欣)</t>
        </is>
      </c>
      <c r="L183" t="inlineStr">
        <is>
          <t>2026-08-20</t>
        </is>
      </c>
      <c r="M183" t="inlineStr">
        <is>
          <t>2026-08-29</t>
        </is>
      </c>
      <c r="N183" t="n">
        <v>6</v>
      </c>
      <c r="O183">
        <f>任务计划表!K183</f>
        <v/>
      </c>
      <c r="P183">
        <f>IF(IF(任务计划表!L183="/",人员资源情况!$A$2,L183)&gt;M183,M183,(IF(任务计划表!L183="/",人员资源情况!$A$2,L183)))</f>
        <v/>
      </c>
      <c r="Q183">
        <f>IF(M183="/",人员资源情况!$B$2,任务计划表!M183)</f>
        <v/>
      </c>
      <c r="R183">
        <f>任务计划表!N183</f>
        <v/>
      </c>
      <c r="S183">
        <f>IF(O183=人员资源情况!C$2,1,0)</f>
        <v/>
      </c>
      <c r="T183">
        <f>IF(P183&gt;=人员资源情况!A$2,1,0)</f>
        <v/>
      </c>
      <c r="U183">
        <f>IF(Q183&lt;=人员资源情况!B$2,1,0)</f>
        <v/>
      </c>
      <c r="V183">
        <f>IF(T183*U183,Q183-P183,IF(T183&gt;U183,人员资源情况!B$2-P183,IF(T183&lt;U183,任务计划表!Q183-人员资源情况!A$2,0)))*R183*S183</f>
        <v/>
      </c>
      <c r="W183">
        <f>IF(V183&lt;0,0,V183)</f>
        <v/>
      </c>
    </row>
    <row r="184">
      <c r="E184" t="inlineStr">
        <is>
          <t>欧洲</t>
        </is>
      </c>
      <c r="F184" t="inlineStr">
        <is>
          <t>欧洲短款表</t>
        </is>
      </c>
      <c r="G184" t="inlineStr">
        <is>
          <t>2026-07-13</t>
        </is>
      </c>
      <c r="H184" t="inlineStr">
        <is>
          <t>2027-03-28</t>
        </is>
      </c>
      <c r="I184" t="inlineStr">
        <is>
          <t>TR4</t>
        </is>
      </c>
      <c r="J184" t="inlineStr">
        <is>
          <t>快照开发</t>
        </is>
      </c>
      <c r="K184" t="inlineStr">
        <is>
          <t>@李昊龙(80016809)</t>
        </is>
      </c>
      <c r="L184" t="inlineStr">
        <is>
          <t>2026-08-17</t>
        </is>
      </c>
      <c r="M184" t="inlineStr">
        <is>
          <t>2026-08-21</t>
        </is>
      </c>
      <c r="N184" t="n">
        <v>6</v>
      </c>
      <c r="O184">
        <f>任务计划表!K184</f>
        <v/>
      </c>
      <c r="P184">
        <f>IF(IF(任务计划表!L184="/",人员资源情况!$A$2,L184)&gt;M184,M184,(IF(任务计划表!L184="/",人员资源情况!$A$2,L184)))</f>
        <v/>
      </c>
      <c r="Q184">
        <f>IF(M184="/",人员资源情况!$B$2,任务计划表!M184)</f>
        <v/>
      </c>
      <c r="R184">
        <f>任务计划表!N184</f>
        <v/>
      </c>
      <c r="S184">
        <f>IF(O184=人员资源情况!C$2,1,0)</f>
        <v/>
      </c>
      <c r="T184">
        <f>IF(P184&gt;=人员资源情况!A$2,1,0)</f>
        <v/>
      </c>
      <c r="U184">
        <f>IF(Q184&lt;=人员资源情况!B$2,1,0)</f>
        <v/>
      </c>
      <c r="V184">
        <f>IF(T184*U184,Q184-P184,IF(T184&gt;U184,人员资源情况!B$2-P184,IF(T184&lt;U184,任务计划表!Q184-人员资源情况!A$2,0)))*R184*S184</f>
        <v/>
      </c>
      <c r="W184">
        <f>IF(V184&lt;0,0,V184)</f>
        <v/>
      </c>
    </row>
    <row r="185">
      <c r="E185" t="inlineStr">
        <is>
          <t>欧洲</t>
        </is>
      </c>
      <c r="F185" t="inlineStr">
        <is>
          <t>欧洲短款表</t>
        </is>
      </c>
      <c r="G185" t="inlineStr">
        <is>
          <t>2026-07-13</t>
        </is>
      </c>
      <c r="H185" t="inlineStr">
        <is>
          <t>2027-03-28</t>
        </is>
      </c>
      <c r="I185" t="inlineStr">
        <is>
          <t>TR4</t>
        </is>
      </c>
      <c r="J185" t="inlineStr">
        <is>
          <t>生产相关开发</t>
        </is>
      </c>
      <c r="K185" t="inlineStr">
        <is>
          <t>@李昊龙(80016809)</t>
        </is>
      </c>
      <c r="L185" t="inlineStr">
        <is>
          <t>2026-08-22</t>
        </is>
      </c>
      <c r="M185" t="inlineStr">
        <is>
          <t>2026-08-30</t>
        </is>
      </c>
      <c r="N185" t="n">
        <v>6</v>
      </c>
      <c r="O185">
        <f>任务计划表!K185</f>
        <v/>
      </c>
      <c r="P185">
        <f>IF(IF(任务计划表!L185="/",人员资源情况!$A$2,L185)&gt;M185,M185,(IF(任务计划表!L185="/",人员资源情况!$A$2,L185)))</f>
        <v/>
      </c>
      <c r="Q185">
        <f>IF(M185="/",人员资源情况!$B$2,任务计划表!M185)</f>
        <v/>
      </c>
      <c r="R185">
        <f>任务计划表!N185</f>
        <v/>
      </c>
      <c r="S185">
        <f>IF(O185=人员资源情况!C$2,1,0)</f>
        <v/>
      </c>
      <c r="T185">
        <f>IF(P185&gt;=人员资源情况!A$2,1,0)</f>
        <v/>
      </c>
      <c r="U185">
        <f>IF(Q185&lt;=人员资源情况!B$2,1,0)</f>
        <v/>
      </c>
      <c r="V185">
        <f>IF(T185*U185,Q185-P185,IF(T185&gt;U185,人员资源情况!B$2-P185,IF(T185&lt;U185,任务计划表!Q185-人员资源情况!A$2,0)))*R185*S185</f>
        <v/>
      </c>
      <c r="W185">
        <f>IF(V185&lt;0,0,V185)</f>
        <v/>
      </c>
    </row>
    <row r="186">
      <c r="E186" t="inlineStr">
        <is>
          <t>欧洲</t>
        </is>
      </c>
      <c r="F186" t="inlineStr">
        <is>
          <t>欧洲短款表</t>
        </is>
      </c>
      <c r="G186" t="inlineStr">
        <is>
          <t>2026-07-13</t>
        </is>
      </c>
      <c r="H186" t="inlineStr">
        <is>
          <t>2027-03-28</t>
        </is>
      </c>
      <c r="I186" t="inlineStr">
        <is>
          <t>TR4</t>
        </is>
      </c>
      <c r="J186" t="inlineStr">
        <is>
          <t>固件验证阶段</t>
        </is>
      </c>
      <c r="K186" t="inlineStr">
        <is>
          <t>@李昊龙(80016809)</t>
        </is>
      </c>
      <c r="L186" t="inlineStr">
        <is>
          <t>2026-09-10</t>
        </is>
      </c>
      <c r="M186" t="inlineStr">
        <is>
          <t>2026-09-13</t>
        </is>
      </c>
      <c r="N186" t="n">
        <v>6</v>
      </c>
      <c r="O186">
        <f>任务计划表!K186</f>
        <v/>
      </c>
      <c r="P186">
        <f>IF(IF(任务计划表!L186="/",人员资源情况!$A$2,L186)&gt;M186,M186,(IF(任务计划表!L186="/",人员资源情况!$A$2,L186)))</f>
        <v/>
      </c>
      <c r="Q186">
        <f>IF(M186="/",人员资源情况!$B$2,任务计划表!M186)</f>
        <v/>
      </c>
      <c r="R186">
        <f>任务计划表!N186</f>
        <v/>
      </c>
      <c r="S186">
        <f>IF(O186=人员资源情况!C$2,1,0)</f>
        <v/>
      </c>
      <c r="T186">
        <f>IF(P186&gt;=人员资源情况!A$2,1,0)</f>
        <v/>
      </c>
      <c r="U186">
        <f>IF(Q186&lt;=人员资源情况!B$2,1,0)</f>
        <v/>
      </c>
      <c r="V186">
        <f>IF(T186*U186,Q186-P186,IF(T186&gt;U186,人员资源情况!B$2-P186,IF(T186&lt;U186,任务计划表!Q186-人员资源情况!A$2,0)))*R186*S186</f>
        <v/>
      </c>
      <c r="W186">
        <f>IF(V186&lt;0,0,V186)</f>
        <v/>
      </c>
    </row>
    <row r="187">
      <c r="E187" t="inlineStr">
        <is>
          <t>欧洲</t>
        </is>
      </c>
      <c r="F187" t="inlineStr">
        <is>
          <t>欧洲短款表</t>
        </is>
      </c>
      <c r="G187" t="inlineStr">
        <is>
          <t>2026-07-13</t>
        </is>
      </c>
      <c r="H187" t="inlineStr">
        <is>
          <t>2027-03-28</t>
        </is>
      </c>
      <c r="I187" t="inlineStr">
        <is>
          <t>TR4</t>
        </is>
      </c>
      <c r="J187" t="inlineStr">
        <is>
          <t>测试方案(大纲）设计</t>
        </is>
      </c>
      <c r="K187" t="inlineStr">
        <is>
          <t>@袁知正</t>
        </is>
      </c>
      <c r="L187" t="inlineStr">
        <is>
          <t>2026-08-08</t>
        </is>
      </c>
      <c r="M187" t="inlineStr">
        <is>
          <t>2026-08-12</t>
        </is>
      </c>
      <c r="N187" t="n">
        <v>5</v>
      </c>
      <c r="O187">
        <f>任务计划表!K187</f>
        <v/>
      </c>
      <c r="P187">
        <f>IF(IF(任务计划表!L187="/",人员资源情况!$A$2,L187)&gt;M187,M187,(IF(任务计划表!L187="/",人员资源情况!$A$2,L187)))</f>
        <v/>
      </c>
      <c r="Q187">
        <f>IF(M187="/",人员资源情况!$B$2,任务计划表!M187)</f>
        <v/>
      </c>
      <c r="R187">
        <f>任务计划表!N187</f>
        <v/>
      </c>
      <c r="S187">
        <f>IF(O187=人员资源情况!C$2,1,0)</f>
        <v/>
      </c>
      <c r="T187">
        <f>IF(P187&gt;=人员资源情况!A$2,1,0)</f>
        <v/>
      </c>
      <c r="U187">
        <f>IF(Q187&lt;=人员资源情况!B$2,1,0)</f>
        <v/>
      </c>
      <c r="V187">
        <f>IF(T187*U187,Q187-P187,IF(T187&gt;U187,人员资源情况!B$2-P187,IF(T187&lt;U187,任务计划表!Q187-人员资源情况!A$2,0)))*R187*S187</f>
        <v/>
      </c>
      <c r="W187">
        <f>IF(V187&lt;0,0,V187)</f>
        <v/>
      </c>
    </row>
    <row r="188">
      <c r="E188" t="inlineStr">
        <is>
          <t>欧洲</t>
        </is>
      </c>
      <c r="F188" t="inlineStr">
        <is>
          <t>欧洲短款表</t>
        </is>
      </c>
      <c r="G188" t="inlineStr">
        <is>
          <t>2026-07-13</t>
        </is>
      </c>
      <c r="H188" t="inlineStr">
        <is>
          <t>2027-03-28</t>
        </is>
      </c>
      <c r="I188" t="inlineStr">
        <is>
          <t>TR4</t>
        </is>
      </c>
      <c r="J188" t="inlineStr">
        <is>
          <t>测试方案（大纲）评审</t>
        </is>
      </c>
      <c r="K188" t="inlineStr">
        <is>
          <t>@袁知正</t>
        </is>
      </c>
      <c r="L188" t="inlineStr">
        <is>
          <t>2026-08-13</t>
        </is>
      </c>
      <c r="M188" t="inlineStr">
        <is>
          <t>2026-08-13</t>
        </is>
      </c>
      <c r="N188" t="n">
        <v>5</v>
      </c>
      <c r="O188">
        <f>任务计划表!K188</f>
        <v/>
      </c>
      <c r="P188">
        <f>IF(IF(任务计划表!L188="/",人员资源情况!$A$2,L188)&gt;M188,M188,(IF(任务计划表!L188="/",人员资源情况!$A$2,L188)))</f>
        <v/>
      </c>
      <c r="Q188">
        <f>IF(M188="/",人员资源情况!$B$2,任务计划表!M188)</f>
        <v/>
      </c>
      <c r="R188">
        <f>任务计划表!N188</f>
        <v/>
      </c>
      <c r="S188">
        <f>IF(O188=人员资源情况!C$2,1,0)</f>
        <v/>
      </c>
      <c r="T188">
        <f>IF(P188&gt;=人员资源情况!A$2,1,0)</f>
        <v/>
      </c>
      <c r="U188">
        <f>IF(Q188&lt;=人员资源情况!B$2,1,0)</f>
        <v/>
      </c>
      <c r="V188">
        <f>IF(T188*U188,Q188-P188,IF(T188&gt;U188,人员资源情况!B$2-P188,IF(T188&lt;U188,任务计划表!Q188-人员资源情况!A$2,0)))*R188*S188</f>
        <v/>
      </c>
      <c r="W188">
        <f>IF(V188&lt;0,0,V188)</f>
        <v/>
      </c>
    </row>
    <row r="189">
      <c r="E189" t="inlineStr">
        <is>
          <t>欧洲</t>
        </is>
      </c>
      <c r="F189" t="inlineStr">
        <is>
          <t>欧洲短款表</t>
        </is>
      </c>
      <c r="G189" t="inlineStr">
        <is>
          <t>2026-07-13</t>
        </is>
      </c>
      <c r="H189" t="inlineStr">
        <is>
          <t>2027-03-28</t>
        </is>
      </c>
      <c r="I189" t="inlineStr">
        <is>
          <t>TR4</t>
        </is>
      </c>
      <c r="J189" t="inlineStr">
        <is>
          <t>测试用例评审</t>
        </is>
      </c>
      <c r="K189" t="inlineStr">
        <is>
          <t>@袁知正</t>
        </is>
      </c>
      <c r="L189" t="inlineStr">
        <is>
          <t>2026-08-14</t>
        </is>
      </c>
      <c r="M189" t="inlineStr">
        <is>
          <t>2026-08-31</t>
        </is>
      </c>
      <c r="N189" t="n">
        <v>5</v>
      </c>
      <c r="O189">
        <f>任务计划表!K189</f>
        <v/>
      </c>
      <c r="P189">
        <f>IF(IF(任务计划表!L189="/",人员资源情况!$A$2,L189)&gt;M189,M189,(IF(任务计划表!L189="/",人员资源情况!$A$2,L189)))</f>
        <v/>
      </c>
      <c r="Q189">
        <f>IF(M189="/",人员资源情况!$B$2,任务计划表!M189)</f>
        <v/>
      </c>
      <c r="R189">
        <f>任务计划表!N189</f>
        <v/>
      </c>
      <c r="S189">
        <f>IF(O189=人员资源情况!C$2,1,0)</f>
        <v/>
      </c>
      <c r="T189">
        <f>IF(P189&gt;=人员资源情况!A$2,1,0)</f>
        <v/>
      </c>
      <c r="U189">
        <f>IF(Q189&lt;=人员资源情况!B$2,1,0)</f>
        <v/>
      </c>
      <c r="V189">
        <f>IF(T189*U189,Q189-P189,IF(T189&gt;U189,人员资源情况!B$2-P189,IF(T189&lt;U189,任务计划表!Q189-人员资源情况!A$2,0)))*R189*S189</f>
        <v/>
      </c>
      <c r="W189">
        <f>IF(V189&lt;0,0,V189)</f>
        <v/>
      </c>
    </row>
    <row r="190">
      <c r="E190" t="inlineStr">
        <is>
          <t>欧洲</t>
        </is>
      </c>
      <c r="F190" t="inlineStr">
        <is>
          <t>欧洲短款表</t>
        </is>
      </c>
      <c r="G190" t="inlineStr">
        <is>
          <t>2026-07-13</t>
        </is>
      </c>
      <c r="H190" t="inlineStr">
        <is>
          <t>2027-03-28</t>
        </is>
      </c>
      <c r="I190" t="inlineStr">
        <is>
          <t>TR4</t>
        </is>
      </c>
      <c r="J190" t="inlineStr">
        <is>
          <t>辅助器具设计</t>
        </is>
      </c>
      <c r="K190" t="inlineStr">
        <is>
          <t>@肖庆阳</t>
        </is>
      </c>
      <c r="L190" t="inlineStr">
        <is>
          <t>2026-08-08</t>
        </is>
      </c>
      <c r="M190" t="inlineStr">
        <is>
          <t>2026-09-21</t>
        </is>
      </c>
      <c r="N190" t="n">
        <v>3</v>
      </c>
      <c r="O190">
        <f>任务计划表!K190</f>
        <v/>
      </c>
      <c r="P190">
        <f>IF(IF(任务计划表!L190="/",人员资源情况!$A$2,L190)&gt;M190,M190,(IF(任务计划表!L190="/",人员资源情况!$A$2,L190)))</f>
        <v/>
      </c>
      <c r="Q190">
        <f>IF(M190="/",人员资源情况!$B$2,任务计划表!M190)</f>
        <v/>
      </c>
      <c r="R190">
        <f>任务计划表!N190</f>
        <v/>
      </c>
      <c r="S190">
        <f>IF(O190=人员资源情况!C$2,1,0)</f>
        <v/>
      </c>
      <c r="T190">
        <f>IF(P190&gt;=人员资源情况!A$2,1,0)</f>
        <v/>
      </c>
      <c r="U190">
        <f>IF(Q190&lt;=人员资源情况!B$2,1,0)</f>
        <v/>
      </c>
      <c r="V190">
        <f>IF(T190*U190,Q190-P190,IF(T190&gt;U190,人员资源情况!B$2-P190,IF(T190&lt;U190,任务计划表!Q190-人员资源情况!A$2,0)))*R190*S190</f>
        <v/>
      </c>
      <c r="W190">
        <f>IF(V190&lt;0,0,V190)</f>
        <v/>
      </c>
    </row>
    <row r="191">
      <c r="E191" t="inlineStr">
        <is>
          <t>欧洲</t>
        </is>
      </c>
      <c r="F191" t="inlineStr">
        <is>
          <t>欧洲短款表</t>
        </is>
      </c>
      <c r="G191" t="inlineStr">
        <is>
          <t>2026-07-13</t>
        </is>
      </c>
      <c r="H191" t="inlineStr">
        <is>
          <t>2027-03-28</t>
        </is>
      </c>
      <c r="I191" t="inlineStr">
        <is>
          <t>TR4A</t>
        </is>
      </c>
      <c r="J191" t="inlineStr">
        <is>
          <t>EVT机下单</t>
        </is>
      </c>
      <c r="K191" t="inlineStr">
        <is>
          <t xml:space="preserve"> @韩燕飞</t>
        </is>
      </c>
      <c r="L191" t="inlineStr">
        <is>
          <t>2026-08-13</t>
        </is>
      </c>
      <c r="M191" t="inlineStr">
        <is>
          <t>2026-08-13</t>
        </is>
      </c>
      <c r="N191" t="n">
        <v>1</v>
      </c>
      <c r="O191">
        <f>任务计划表!K191</f>
        <v/>
      </c>
      <c r="P191">
        <f>IF(IF(任务计划表!L191="/",人员资源情况!$A$2,L191)&gt;M191,M191,(IF(任务计划表!L191="/",人员资源情况!$A$2,L191)))</f>
        <v/>
      </c>
      <c r="Q191">
        <f>IF(M191="/",人员资源情况!$B$2,任务计划表!M191)</f>
        <v/>
      </c>
      <c r="R191">
        <f>任务计划表!N191</f>
        <v/>
      </c>
      <c r="S191">
        <f>IF(O191=人员资源情况!C$2,1,0)</f>
        <v/>
      </c>
      <c r="T191">
        <f>IF(P191&gt;=人员资源情况!A$2,1,0)</f>
        <v/>
      </c>
      <c r="U191">
        <f>IF(Q191&lt;=人员资源情况!B$2,1,0)</f>
        <v/>
      </c>
      <c r="V191">
        <f>IF(T191*U191,Q191-P191,IF(T191&gt;U191,人员资源情况!B$2-P191,IF(T191&lt;U191,任务计划表!Q191-人员资源情况!A$2,0)))*R191*S191</f>
        <v/>
      </c>
      <c r="W191">
        <f>IF(V191&lt;0,0,V191)</f>
        <v/>
      </c>
    </row>
    <row r="192">
      <c r="E192" t="inlineStr">
        <is>
          <t>欧洲</t>
        </is>
      </c>
      <c r="F192" t="inlineStr">
        <is>
          <t>欧洲短款表</t>
        </is>
      </c>
      <c r="G192" t="inlineStr">
        <is>
          <t>2026-07-13</t>
        </is>
      </c>
      <c r="H192" t="inlineStr">
        <is>
          <t>2027-03-28</t>
        </is>
      </c>
      <c r="I192" t="inlineStr">
        <is>
          <t>TR4A</t>
        </is>
      </c>
      <c r="J192" t="inlineStr">
        <is>
          <t>EVT-原型样机BOM归档</t>
        </is>
      </c>
      <c r="K192" t="inlineStr">
        <is>
          <t>@童景顺(80004217)(童景顺)</t>
        </is>
      </c>
      <c r="L192" t="inlineStr">
        <is>
          <t>2026-08-14</t>
        </is>
      </c>
      <c r="M192" t="inlineStr">
        <is>
          <t>2026-08-14</t>
        </is>
      </c>
      <c r="N192" t="n">
        <v>1</v>
      </c>
      <c r="O192">
        <f>任务计划表!K192</f>
        <v/>
      </c>
      <c r="P192">
        <f>IF(IF(任务计划表!L192="/",人员资源情况!$A$2,L192)&gt;M192,M192,(IF(任务计划表!L192="/",人员资源情况!$A$2,L192)))</f>
        <v/>
      </c>
      <c r="Q192">
        <f>IF(M192="/",人员资源情况!$B$2,任务计划表!M192)</f>
        <v/>
      </c>
      <c r="R192">
        <f>任务计划表!N192</f>
        <v/>
      </c>
      <c r="S192">
        <f>IF(O192=人员资源情况!C$2,1,0)</f>
        <v/>
      </c>
      <c r="T192">
        <f>IF(P192&gt;=人员资源情况!A$2,1,0)</f>
        <v/>
      </c>
      <c r="U192">
        <f>IF(Q192&lt;=人员资源情况!B$2,1,0)</f>
        <v/>
      </c>
      <c r="V192">
        <f>IF(T192*U192,Q192-P192,IF(T192&gt;U192,人员资源情况!B$2-P192,IF(T192&lt;U192,任务计划表!Q192-人员资源情况!A$2,0)))*R192*S192</f>
        <v/>
      </c>
      <c r="W192">
        <f>IF(V192&lt;0,0,V192)</f>
        <v/>
      </c>
    </row>
    <row r="193">
      <c r="E193" t="inlineStr">
        <is>
          <t>欧洲</t>
        </is>
      </c>
      <c r="F193" t="inlineStr">
        <is>
          <t>欧洲短款表</t>
        </is>
      </c>
      <c r="G193" t="inlineStr">
        <is>
          <t>2026-07-13</t>
        </is>
      </c>
      <c r="H193" t="inlineStr">
        <is>
          <t>2027-03-28</t>
        </is>
      </c>
      <c r="I193" t="inlineStr">
        <is>
          <t>TR4A</t>
        </is>
      </c>
      <c r="J193" t="inlineStr">
        <is>
          <t>原型样机采购</t>
        </is>
      </c>
      <c r="K193" t="inlineStr">
        <is>
          <t xml:space="preserve"> @采购</t>
        </is>
      </c>
      <c r="L193" t="inlineStr">
        <is>
          <t>2026-08-15</t>
        </is>
      </c>
      <c r="M193" t="inlineStr">
        <is>
          <t>2026-09-09</t>
        </is>
      </c>
      <c r="N193" t="n">
        <v>0</v>
      </c>
      <c r="O193">
        <f>任务计划表!K193</f>
        <v/>
      </c>
      <c r="P193">
        <f>IF(IF(任务计划表!L193="/",人员资源情况!$A$2,L193)&gt;M193,M193,(IF(任务计划表!L193="/",人员资源情况!$A$2,L193)))</f>
        <v/>
      </c>
      <c r="Q193">
        <f>IF(M193="/",人员资源情况!$B$2,任务计划表!M193)</f>
        <v/>
      </c>
      <c r="R193">
        <f>任务计划表!N193</f>
        <v/>
      </c>
      <c r="S193">
        <f>IF(O193=人员资源情况!C$2,1,0)</f>
        <v/>
      </c>
      <c r="T193">
        <f>IF(P193&gt;=人员资源情况!A$2,1,0)</f>
        <v/>
      </c>
      <c r="U193">
        <f>IF(Q193&lt;=人员资源情况!B$2,1,0)</f>
        <v/>
      </c>
      <c r="V193">
        <f>IF(T193*U193,Q193-P193,IF(T193&gt;U193,人员资源情况!B$2-P193,IF(T193&lt;U193,任务计划表!Q193-人员资源情况!A$2,0)))*R193*S193</f>
        <v/>
      </c>
      <c r="W193">
        <f>IF(V193&lt;0,0,V193)</f>
        <v/>
      </c>
    </row>
    <row r="194">
      <c r="E194" t="inlineStr">
        <is>
          <t>欧洲</t>
        </is>
      </c>
      <c r="F194" t="inlineStr">
        <is>
          <t>欧洲短款表</t>
        </is>
      </c>
      <c r="G194" t="inlineStr">
        <is>
          <t>2026-07-13</t>
        </is>
      </c>
      <c r="H194" t="inlineStr">
        <is>
          <t>2027-03-28</t>
        </is>
      </c>
      <c r="I194" t="inlineStr">
        <is>
          <t>TR4A</t>
        </is>
      </c>
      <c r="J194" t="inlineStr">
        <is>
          <t>原先相机生产</t>
        </is>
      </c>
      <c r="K194" t="inlineStr">
        <is>
          <t>@文春英</t>
        </is>
      </c>
      <c r="L194" t="inlineStr">
        <is>
          <t>2026-09-10</t>
        </is>
      </c>
      <c r="M194" t="inlineStr">
        <is>
          <t>2026-09-12</t>
        </is>
      </c>
      <c r="N194" t="n">
        <v>8</v>
      </c>
      <c r="O194">
        <f>任务计划表!K194</f>
        <v/>
      </c>
      <c r="P194">
        <f>IF(IF(任务计划表!L194="/",人员资源情况!$A$2,L194)&gt;M194,M194,(IF(任务计划表!L194="/",人员资源情况!$A$2,L194)))</f>
        <v/>
      </c>
      <c r="Q194">
        <f>IF(M194="/",人员资源情况!$B$2,任务计划表!M194)</f>
        <v/>
      </c>
      <c r="R194">
        <f>任务计划表!N194</f>
        <v/>
      </c>
      <c r="S194">
        <f>IF(O194=人员资源情况!C$2,1,0)</f>
        <v/>
      </c>
      <c r="T194">
        <f>IF(P194&gt;=人员资源情况!A$2,1,0)</f>
        <v/>
      </c>
      <c r="U194">
        <f>IF(Q194&lt;=人员资源情况!B$2,1,0)</f>
        <v/>
      </c>
      <c r="V194">
        <f>IF(T194*U194,Q194-P194,IF(T194&gt;U194,人员资源情况!B$2-P194,IF(T194&lt;U194,任务计划表!Q194-人员资源情况!A$2,0)))*R194*S194</f>
        <v/>
      </c>
      <c r="W194">
        <f>IF(V194&lt;0,0,V194)</f>
        <v/>
      </c>
    </row>
    <row r="195">
      <c r="E195" t="inlineStr">
        <is>
          <t>欧洲</t>
        </is>
      </c>
      <c r="F195" t="inlineStr">
        <is>
          <t>欧洲短款表</t>
        </is>
      </c>
      <c r="G195" t="inlineStr">
        <is>
          <t>2026-07-13</t>
        </is>
      </c>
      <c r="H195" t="inlineStr">
        <is>
          <t>2027-03-28</t>
        </is>
      </c>
      <c r="I195" t="inlineStr">
        <is>
          <t>TR4A</t>
        </is>
      </c>
      <c r="J195" t="inlineStr">
        <is>
          <t>可生产性评估</t>
        </is>
      </c>
      <c r="K195" t="inlineStr">
        <is>
          <t>@肖庆阳</t>
        </is>
      </c>
      <c r="L195" t="inlineStr">
        <is>
          <t>2026-09-11</t>
        </is>
      </c>
      <c r="M195" t="inlineStr">
        <is>
          <t>2026-09-13</t>
        </is>
      </c>
      <c r="N195" t="n">
        <v>8</v>
      </c>
      <c r="O195">
        <f>任务计划表!K195</f>
        <v/>
      </c>
      <c r="P195">
        <f>IF(IF(任务计划表!L195="/",人员资源情况!$A$2,L195)&gt;M195,M195,(IF(任务计划表!L195="/",人员资源情况!$A$2,L195)))</f>
        <v/>
      </c>
      <c r="Q195">
        <f>IF(M195="/",人员资源情况!$B$2,任务计划表!M195)</f>
        <v/>
      </c>
      <c r="R195">
        <f>任务计划表!N195</f>
        <v/>
      </c>
      <c r="S195">
        <f>IF(O195=人员资源情况!C$2,1,0)</f>
        <v/>
      </c>
      <c r="T195">
        <f>IF(P195&gt;=人员资源情况!A$2,1,0)</f>
        <v/>
      </c>
      <c r="U195">
        <f>IF(Q195&lt;=人员资源情况!B$2,1,0)</f>
        <v/>
      </c>
      <c r="V195">
        <f>IF(T195*U195,Q195-P195,IF(T195&gt;U195,人员资源情况!B$2-P195,IF(T195&lt;U195,任务计划表!Q195-人员资源情况!A$2,0)))*R195*S195</f>
        <v/>
      </c>
      <c r="W195">
        <f>IF(V195&lt;0,0,V195)</f>
        <v/>
      </c>
    </row>
    <row r="196">
      <c r="E196" t="inlineStr">
        <is>
          <t>欧洲</t>
        </is>
      </c>
      <c r="F196" t="inlineStr">
        <is>
          <t>欧洲短款表</t>
        </is>
      </c>
      <c r="G196" t="inlineStr">
        <is>
          <t>2026-07-13</t>
        </is>
      </c>
      <c r="H196" t="inlineStr">
        <is>
          <t>2027-03-28</t>
        </is>
      </c>
      <c r="I196" t="inlineStr">
        <is>
          <t>TR4A</t>
        </is>
      </c>
      <c r="J196" t="inlineStr">
        <is>
          <t>内测/单元测试</t>
        </is>
      </c>
      <c r="K196" t="inlineStr">
        <is>
          <t>@童景顺(80004217)(童景顺)</t>
        </is>
      </c>
      <c r="L196" t="inlineStr">
        <is>
          <t>2026-09-12</t>
        </is>
      </c>
      <c r="M196" t="inlineStr">
        <is>
          <t>2026-09-18</t>
        </is>
      </c>
      <c r="N196" t="n">
        <v>3</v>
      </c>
      <c r="O196">
        <f>任务计划表!K196</f>
        <v/>
      </c>
      <c r="P196">
        <f>IF(IF(任务计划表!L196="/",人员资源情况!$A$2,L196)&gt;M196,M196,(IF(任务计划表!L196="/",人员资源情况!$A$2,L196)))</f>
        <v/>
      </c>
      <c r="Q196">
        <f>IF(M196="/",人员资源情况!$B$2,任务计划表!M196)</f>
        <v/>
      </c>
      <c r="R196">
        <f>任务计划表!N196</f>
        <v/>
      </c>
      <c r="S196">
        <f>IF(O196=人员资源情况!C$2,1,0)</f>
        <v/>
      </c>
      <c r="T196">
        <f>IF(P196&gt;=人员资源情况!A$2,1,0)</f>
        <v/>
      </c>
      <c r="U196">
        <f>IF(Q196&lt;=人员资源情况!B$2,1,0)</f>
        <v/>
      </c>
      <c r="V196">
        <f>IF(T196*U196,Q196-P196,IF(T196&gt;U196,人员资源情况!B$2-P196,IF(T196&lt;U196,任务计划表!Q196-人员资源情况!A$2,0)))*R196*S196</f>
        <v/>
      </c>
      <c r="W196">
        <f>IF(V196&lt;0,0,V196)</f>
        <v/>
      </c>
    </row>
    <row r="197">
      <c r="E197" t="inlineStr">
        <is>
          <t>欧洲</t>
        </is>
      </c>
      <c r="F197" t="inlineStr">
        <is>
          <t>欧洲短款表</t>
        </is>
      </c>
      <c r="G197" t="inlineStr">
        <is>
          <t>2026-07-13</t>
        </is>
      </c>
      <c r="H197" t="inlineStr">
        <is>
          <t>2027-03-28</t>
        </is>
      </c>
      <c r="I197" t="inlineStr">
        <is>
          <t>TR4A</t>
        </is>
      </c>
      <c r="J197" t="inlineStr">
        <is>
          <t>性能测试</t>
        </is>
      </c>
      <c r="K197" t="inlineStr">
        <is>
          <t xml:space="preserve"> @贾峰</t>
        </is>
      </c>
      <c r="L197" t="inlineStr">
        <is>
          <t>2026-09-13</t>
        </is>
      </c>
      <c r="M197" t="inlineStr">
        <is>
          <t>2026-09-27</t>
        </is>
      </c>
      <c r="N197" t="n">
        <v>8</v>
      </c>
      <c r="O197">
        <f>任务计划表!K197</f>
        <v/>
      </c>
      <c r="P197">
        <f>IF(IF(任务计划表!L197="/",人员资源情况!$A$2,L197)&gt;M197,M197,(IF(任务计划表!L197="/",人员资源情况!$A$2,L197)))</f>
        <v/>
      </c>
      <c r="Q197">
        <f>IF(M197="/",人员资源情况!$B$2,任务计划表!M197)</f>
        <v/>
      </c>
      <c r="R197">
        <f>任务计划表!N197</f>
        <v/>
      </c>
      <c r="S197">
        <f>IF(O197=人员资源情况!C$2,1,0)</f>
        <v/>
      </c>
      <c r="T197">
        <f>IF(P197&gt;=人员资源情况!A$2,1,0)</f>
        <v/>
      </c>
      <c r="U197">
        <f>IF(Q197&lt;=人员资源情况!B$2,1,0)</f>
        <v/>
      </c>
      <c r="V197">
        <f>IF(T197*U197,Q197-P197,IF(T197&gt;U197,人员资源情况!B$2-P197,IF(T197&lt;U197,任务计划表!Q197-人员资源情况!A$2,0)))*R197*S197</f>
        <v/>
      </c>
      <c r="W197">
        <f>IF(V197&lt;0,0,V197)</f>
        <v/>
      </c>
    </row>
    <row r="198">
      <c r="E198" t="inlineStr">
        <is>
          <t>欧洲</t>
        </is>
      </c>
      <c r="F198" t="inlineStr">
        <is>
          <t>欧洲短款表</t>
        </is>
      </c>
      <c r="G198" t="inlineStr">
        <is>
          <t>2026-07-13</t>
        </is>
      </c>
      <c r="H198" t="inlineStr">
        <is>
          <t>2027-03-28</t>
        </is>
      </c>
      <c r="I198" t="inlineStr">
        <is>
          <t>TR4A</t>
        </is>
      </c>
      <c r="J198" t="inlineStr">
        <is>
          <t>委外测试</t>
        </is>
      </c>
      <c r="K198" t="inlineStr">
        <is>
          <t>@袁知正</t>
        </is>
      </c>
      <c r="L198" t="inlineStr">
        <is>
          <t>2026-09-14</t>
        </is>
      </c>
      <c r="M198" t="inlineStr">
        <is>
          <t>2026-09-14</t>
        </is>
      </c>
      <c r="N198" t="n">
        <v>4</v>
      </c>
      <c r="O198">
        <f>任务计划表!K198</f>
        <v/>
      </c>
      <c r="P198">
        <f>IF(IF(任务计划表!L198="/",人员资源情况!$A$2,L198)&gt;M198,M198,(IF(任务计划表!L198="/",人员资源情况!$A$2,L198)))</f>
        <v/>
      </c>
      <c r="Q198">
        <f>IF(M198="/",人员资源情况!$B$2,任务计划表!M198)</f>
        <v/>
      </c>
      <c r="R198">
        <f>任务计划表!N198</f>
        <v/>
      </c>
      <c r="S198">
        <f>IF(O198=人员资源情况!C$2,1,0)</f>
        <v/>
      </c>
      <c r="T198">
        <f>IF(P198&gt;=人员资源情况!A$2,1,0)</f>
        <v/>
      </c>
      <c r="U198">
        <f>IF(Q198&lt;=人员资源情况!B$2,1,0)</f>
        <v/>
      </c>
      <c r="V198">
        <f>IF(T198*U198,Q198-P198,IF(T198&gt;U198,人员资源情况!B$2-P198,IF(T198&lt;U198,任务计划表!Q198-人员资源情况!A$2,0)))*R198*S198</f>
        <v/>
      </c>
      <c r="W198">
        <f>IF(V198&lt;0,0,V198)</f>
        <v/>
      </c>
    </row>
    <row r="199">
      <c r="E199" t="inlineStr">
        <is>
          <t>欧洲</t>
        </is>
      </c>
      <c r="F199" t="inlineStr">
        <is>
          <t>欧洲短款表</t>
        </is>
      </c>
      <c r="G199" t="inlineStr">
        <is>
          <t>2026-07-13</t>
        </is>
      </c>
      <c r="H199" t="inlineStr">
        <is>
          <t>2027-03-28</t>
        </is>
      </c>
      <c r="I199" t="inlineStr">
        <is>
          <t>TR4A</t>
        </is>
      </c>
      <c r="J199" t="inlineStr">
        <is>
          <t>功能测试</t>
        </is>
      </c>
      <c r="K199" t="inlineStr">
        <is>
          <t>@袁知正</t>
        </is>
      </c>
      <c r="L199" t="inlineStr">
        <is>
          <t>2026-09-13</t>
        </is>
      </c>
      <c r="M199" t="inlineStr">
        <is>
          <t>2026-09-27</t>
        </is>
      </c>
      <c r="N199" t="n">
        <v>8</v>
      </c>
      <c r="O199">
        <f>任务计划表!K199</f>
        <v/>
      </c>
      <c r="P199">
        <f>IF(IF(任务计划表!L199="/",人员资源情况!$A$2,L199)&gt;M199,M199,(IF(任务计划表!L199="/",人员资源情况!$A$2,L199)))</f>
        <v/>
      </c>
      <c r="Q199">
        <f>IF(M199="/",人员资源情况!$B$2,任务计划表!M199)</f>
        <v/>
      </c>
      <c r="R199">
        <f>任务计划表!N199</f>
        <v/>
      </c>
      <c r="S199">
        <f>IF(O199=人员资源情况!C$2,1,0)</f>
        <v/>
      </c>
      <c r="T199">
        <f>IF(P199&gt;=人员资源情况!A$2,1,0)</f>
        <v/>
      </c>
      <c r="U199">
        <f>IF(Q199&lt;=人员资源情况!B$2,1,0)</f>
        <v/>
      </c>
      <c r="V199">
        <f>IF(T199*U199,Q199-P199,IF(T199&gt;U199,人员资源情况!B$2-P199,IF(T199&lt;U199,任务计划表!Q199-人员资源情况!A$2,0)))*R199*S199</f>
        <v/>
      </c>
      <c r="W199">
        <f>IF(V199&lt;0,0,V199)</f>
        <v/>
      </c>
    </row>
    <row r="200">
      <c r="E200" t="inlineStr">
        <is>
          <t>欧洲</t>
        </is>
      </c>
      <c r="F200" t="inlineStr">
        <is>
          <t>欧洲短款表</t>
        </is>
      </c>
      <c r="G200" t="inlineStr">
        <is>
          <t>2026-07-13</t>
        </is>
      </c>
      <c r="H200" t="inlineStr">
        <is>
          <t>2027-03-28</t>
        </is>
      </c>
      <c r="I200" t="inlineStr">
        <is>
          <t>TR4A</t>
        </is>
      </c>
      <c r="J200" t="inlineStr">
        <is>
          <t>硬件测试问题修改</t>
        </is>
      </c>
      <c r="K200" t="inlineStr">
        <is>
          <t>@童景顺(80004217)(童景顺)</t>
        </is>
      </c>
      <c r="L200" t="inlineStr">
        <is>
          <t>2026-09-28</t>
        </is>
      </c>
      <c r="M200" t="inlineStr">
        <is>
          <t>2026-09-28</t>
        </is>
      </c>
      <c r="N200" t="n">
        <v>4</v>
      </c>
      <c r="O200">
        <f>任务计划表!K200</f>
        <v/>
      </c>
      <c r="P200">
        <f>IF(IF(任务计划表!L200="/",人员资源情况!$A$2,L200)&gt;M200,M200,(IF(任务计划表!L200="/",人员资源情况!$A$2,L200)))</f>
        <v/>
      </c>
      <c r="Q200">
        <f>IF(M200="/",人员资源情况!$B$2,任务计划表!M200)</f>
        <v/>
      </c>
      <c r="R200">
        <f>任务计划表!N200</f>
        <v/>
      </c>
      <c r="S200">
        <f>IF(O200=人员资源情况!C$2,1,0)</f>
        <v/>
      </c>
      <c r="T200">
        <f>IF(P200&gt;=人员资源情况!A$2,1,0)</f>
        <v/>
      </c>
      <c r="U200">
        <f>IF(Q200&lt;=人员资源情况!B$2,1,0)</f>
        <v/>
      </c>
      <c r="V200">
        <f>IF(T200*U200,Q200-P200,IF(T200&gt;U200,人员资源情况!B$2-P200,IF(T200&lt;U200,任务计划表!Q200-人员资源情况!A$2,0)))*R200*S200</f>
        <v/>
      </c>
      <c r="W200">
        <f>IF(V200&lt;0,0,V200)</f>
        <v/>
      </c>
    </row>
    <row r="201">
      <c r="E201" t="inlineStr">
        <is>
          <t>欧洲</t>
        </is>
      </c>
      <c r="F201" t="inlineStr">
        <is>
          <t>欧洲短款表</t>
        </is>
      </c>
      <c r="G201" t="inlineStr">
        <is>
          <t>2026-07-13</t>
        </is>
      </c>
      <c r="H201" t="inlineStr">
        <is>
          <t>2027-03-28</t>
        </is>
      </c>
      <c r="I201" t="inlineStr">
        <is>
          <t>TR4A</t>
        </is>
      </c>
      <c r="J201" t="inlineStr">
        <is>
          <t>结构测试问题修改</t>
        </is>
      </c>
      <c r="K201" t="inlineStr">
        <is>
          <t>@罗穗安</t>
        </is>
      </c>
      <c r="L201" t="inlineStr">
        <is>
          <t>2026-09-28</t>
        </is>
      </c>
      <c r="M201" t="inlineStr">
        <is>
          <t>2026-09-28</t>
        </is>
      </c>
      <c r="N201" t="n">
        <v>4</v>
      </c>
      <c r="O201">
        <f>任务计划表!K201</f>
        <v/>
      </c>
      <c r="P201">
        <f>IF(IF(任务计划表!L201="/",人员资源情况!$A$2,L201)&gt;M201,M201,(IF(任务计划表!L201="/",人员资源情况!$A$2,L201)))</f>
        <v/>
      </c>
      <c r="Q201">
        <f>IF(M201="/",人员资源情况!$B$2,任务计划表!M201)</f>
        <v/>
      </c>
      <c r="R201">
        <f>任务计划表!N201</f>
        <v/>
      </c>
      <c r="S201">
        <f>IF(O201=人员资源情况!C$2,1,0)</f>
        <v/>
      </c>
      <c r="T201">
        <f>IF(P201&gt;=人员资源情况!A$2,1,0)</f>
        <v/>
      </c>
      <c r="U201">
        <f>IF(Q201&lt;=人员资源情况!B$2,1,0)</f>
        <v/>
      </c>
      <c r="V201">
        <f>IF(T201*U201,Q201-P201,IF(T201&gt;U201,人员资源情况!B$2-P201,IF(T201&lt;U201,任务计划表!Q201-人员资源情况!A$2,0)))*R201*S201</f>
        <v/>
      </c>
      <c r="W201">
        <f>IF(V201&lt;0,0,V201)</f>
        <v/>
      </c>
    </row>
    <row r="202">
      <c r="E202" t="inlineStr">
        <is>
          <t>欧洲</t>
        </is>
      </c>
      <c r="F202" t="inlineStr">
        <is>
          <t>欧洲短款表</t>
        </is>
      </c>
      <c r="G202" t="inlineStr">
        <is>
          <t>2026-07-13</t>
        </is>
      </c>
      <c r="H202" t="inlineStr">
        <is>
          <t>2027-03-28</t>
        </is>
      </c>
      <c r="I202" t="inlineStr">
        <is>
          <t>TR4A</t>
        </is>
      </c>
      <c r="J202" t="inlineStr">
        <is>
          <t>固件测试问题修改</t>
        </is>
      </c>
      <c r="K202" t="inlineStr">
        <is>
          <t>@袁琮欣(80015786)(袁琮欣)</t>
        </is>
      </c>
      <c r="L202" t="inlineStr">
        <is>
          <t>2026-09-28</t>
        </is>
      </c>
      <c r="M202" t="inlineStr">
        <is>
          <t>2026-09-28</t>
        </is>
      </c>
      <c r="N202" t="n">
        <v>4</v>
      </c>
      <c r="O202">
        <f>任务计划表!K202</f>
        <v/>
      </c>
      <c r="P202">
        <f>IF(IF(任务计划表!L202="/",人员资源情况!$A$2,L202)&gt;M202,M202,(IF(任务计划表!L202="/",人员资源情况!$A$2,L202)))</f>
        <v/>
      </c>
      <c r="Q202">
        <f>IF(M202="/",人员资源情况!$B$2,任务计划表!M202)</f>
        <v/>
      </c>
      <c r="R202">
        <f>任务计划表!N202</f>
        <v/>
      </c>
      <c r="S202">
        <f>IF(O202=人员资源情况!C$2,1,0)</f>
        <v/>
      </c>
      <c r="T202">
        <f>IF(P202&gt;=人员资源情况!A$2,1,0)</f>
        <v/>
      </c>
      <c r="U202">
        <f>IF(Q202&lt;=人员资源情况!B$2,1,0)</f>
        <v/>
      </c>
      <c r="V202">
        <f>IF(T202*U202,Q202-P202,IF(T202&gt;U202,人员资源情况!B$2-P202,IF(T202&lt;U202,任务计划表!Q202-人员资源情况!A$2,0)))*R202*S202</f>
        <v/>
      </c>
      <c r="W202">
        <f>IF(V202&lt;0,0,V202)</f>
        <v/>
      </c>
    </row>
    <row r="203">
      <c r="E203" t="inlineStr">
        <is>
          <t>欧洲</t>
        </is>
      </c>
      <c r="F203" t="inlineStr">
        <is>
          <t>欧洲短款表</t>
        </is>
      </c>
      <c r="G203" t="inlineStr">
        <is>
          <t>2026-07-13</t>
        </is>
      </c>
      <c r="H203" t="inlineStr">
        <is>
          <t>2027-03-28</t>
        </is>
      </c>
      <c r="I203" t="inlineStr">
        <is>
          <t>TR4A</t>
        </is>
      </c>
      <c r="J203" t="inlineStr">
        <is>
          <t>乌拉圭样机输出</t>
        </is>
      </c>
      <c r="K203" t="inlineStr">
        <is>
          <t>@童景顺(80004217)(童景顺)</t>
        </is>
      </c>
      <c r="L203" t="inlineStr">
        <is>
          <t>2026-09-30</t>
        </is>
      </c>
      <c r="M203" t="inlineStr">
        <is>
          <t>2026-09-30</t>
        </is>
      </c>
      <c r="N203" t="n">
        <v>1</v>
      </c>
      <c r="O203">
        <f>任务计划表!K203</f>
        <v/>
      </c>
      <c r="P203">
        <f>IF(IF(任务计划表!L203="/",人员资源情况!$A$2,L203)&gt;M203,M203,(IF(任务计划表!L203="/",人员资源情况!$A$2,L203)))</f>
        <v/>
      </c>
      <c r="Q203">
        <f>IF(M203="/",人员资源情况!$B$2,任务计划表!M203)</f>
        <v/>
      </c>
      <c r="R203">
        <f>任务计划表!N203</f>
        <v/>
      </c>
      <c r="S203">
        <f>IF(O203=人员资源情况!C$2,1,0)</f>
        <v/>
      </c>
      <c r="T203">
        <f>IF(P203&gt;=人员资源情况!A$2,1,0)</f>
        <v/>
      </c>
      <c r="U203">
        <f>IF(Q203&lt;=人员资源情况!B$2,1,0)</f>
        <v/>
      </c>
      <c r="V203">
        <f>IF(T203*U203,Q203-P203,IF(T203&gt;U203,人员资源情况!B$2-P203,IF(T203&lt;U203,任务计划表!Q203-人员资源情况!A$2,0)))*R203*S203</f>
        <v/>
      </c>
      <c r="W203">
        <f>IF(V203&lt;0,0,V203)</f>
        <v/>
      </c>
    </row>
    <row r="204">
      <c r="E204" t="inlineStr">
        <is>
          <t>欧洲</t>
        </is>
      </c>
      <c r="F204" t="inlineStr">
        <is>
          <t>欧洲短款表</t>
        </is>
      </c>
      <c r="G204" t="inlineStr">
        <is>
          <t>2026-07-13</t>
        </is>
      </c>
      <c r="H204" t="inlineStr">
        <is>
          <t>2027-03-28</t>
        </is>
      </c>
      <c r="I204" t="inlineStr">
        <is>
          <t>TR4A</t>
        </is>
      </c>
      <c r="J204" t="inlineStr">
        <is>
          <t>性能测试</t>
        </is>
      </c>
      <c r="K204" t="inlineStr">
        <is>
          <t>@贾峰</t>
        </is>
      </c>
      <c r="L204" t="inlineStr">
        <is>
          <t>2026-09-30</t>
        </is>
      </c>
      <c r="M204" t="inlineStr">
        <is>
          <t>2026-10-14</t>
        </is>
      </c>
      <c r="N204" t="n">
        <v>8</v>
      </c>
      <c r="O204">
        <f>任务计划表!K204</f>
        <v/>
      </c>
      <c r="P204">
        <f>IF(IF(任务计划表!L204="/",人员资源情况!$A$2,L204)&gt;M204,M204,(IF(任务计划表!L204="/",人员资源情况!$A$2,L204)))</f>
        <v/>
      </c>
      <c r="Q204">
        <f>IF(M204="/",人员资源情况!$B$2,任务计划表!M204)</f>
        <v/>
      </c>
      <c r="R204">
        <f>任务计划表!N204</f>
        <v/>
      </c>
      <c r="S204">
        <f>IF(O204=人员资源情况!C$2,1,0)</f>
        <v/>
      </c>
      <c r="T204">
        <f>IF(P204&gt;=人员资源情况!A$2,1,0)</f>
        <v/>
      </c>
      <c r="U204">
        <f>IF(Q204&lt;=人员资源情况!B$2,1,0)</f>
        <v/>
      </c>
      <c r="V204">
        <f>IF(T204*U204,Q204-P204,IF(T204&gt;U204,人员资源情况!B$2-P204,IF(T204&lt;U204,任务计划表!Q204-人员资源情况!A$2,0)))*R204*S204</f>
        <v/>
      </c>
      <c r="W204">
        <f>IF(V204&lt;0,0,V204)</f>
        <v/>
      </c>
    </row>
    <row r="205">
      <c r="E205" t="inlineStr">
        <is>
          <t>欧洲</t>
        </is>
      </c>
      <c r="F205" t="inlineStr">
        <is>
          <t>欧洲短款表</t>
        </is>
      </c>
      <c r="G205" t="inlineStr">
        <is>
          <t>2026-07-13</t>
        </is>
      </c>
      <c r="H205" t="inlineStr">
        <is>
          <t>2027-03-28</t>
        </is>
      </c>
      <c r="I205" t="inlineStr">
        <is>
          <t>TR4A</t>
        </is>
      </c>
      <c r="J205" t="inlineStr">
        <is>
          <t>委外测试</t>
        </is>
      </c>
      <c r="K205" t="inlineStr">
        <is>
          <t>@袁知正</t>
        </is>
      </c>
      <c r="L205" t="inlineStr">
        <is>
          <t>2026-10-01</t>
        </is>
      </c>
      <c r="M205" t="inlineStr">
        <is>
          <t>2026-10-01</t>
        </is>
      </c>
      <c r="N205" t="n">
        <v>4</v>
      </c>
      <c r="O205">
        <f>任务计划表!K205</f>
        <v/>
      </c>
      <c r="P205">
        <f>IF(IF(任务计划表!L205="/",人员资源情况!$A$2,L205)&gt;M205,M205,(IF(任务计划表!L205="/",人员资源情况!$A$2,L205)))</f>
        <v/>
      </c>
      <c r="Q205">
        <f>IF(M205="/",人员资源情况!$B$2,任务计划表!M205)</f>
        <v/>
      </c>
      <c r="R205">
        <f>任务计划表!N205</f>
        <v/>
      </c>
      <c r="S205">
        <f>IF(O205=人员资源情况!C$2,1,0)</f>
        <v/>
      </c>
      <c r="T205">
        <f>IF(P205&gt;=人员资源情况!A$2,1,0)</f>
        <v/>
      </c>
      <c r="U205">
        <f>IF(Q205&lt;=人员资源情况!B$2,1,0)</f>
        <v/>
      </c>
      <c r="V205">
        <f>IF(T205*U205,Q205-P205,IF(T205&gt;U205,人员资源情况!B$2-P205,IF(T205&lt;U205,任务计划表!Q205-人员资源情况!A$2,0)))*R205*S205</f>
        <v/>
      </c>
      <c r="W205">
        <f>IF(V205&lt;0,0,V205)</f>
        <v/>
      </c>
    </row>
    <row r="206">
      <c r="E206" t="inlineStr">
        <is>
          <t>欧洲</t>
        </is>
      </c>
      <c r="F206" t="inlineStr">
        <is>
          <t>欧洲短款表</t>
        </is>
      </c>
      <c r="G206" t="inlineStr">
        <is>
          <t>2026-07-13</t>
        </is>
      </c>
      <c r="H206" t="inlineStr">
        <is>
          <t>2027-03-28</t>
        </is>
      </c>
      <c r="I206" t="inlineStr">
        <is>
          <t>TR4A</t>
        </is>
      </c>
      <c r="J206" t="inlineStr">
        <is>
          <t>功能测试</t>
        </is>
      </c>
      <c r="K206" t="inlineStr">
        <is>
          <t>@袁知正</t>
        </is>
      </c>
      <c r="L206" t="inlineStr">
        <is>
          <t>2026-09-30</t>
        </is>
      </c>
      <c r="M206" t="inlineStr">
        <is>
          <t>2026-10-14</t>
        </is>
      </c>
      <c r="N206" t="n">
        <v>8</v>
      </c>
      <c r="O206">
        <f>任务计划表!K206</f>
        <v/>
      </c>
      <c r="P206">
        <f>IF(IF(任务计划表!L206="/",人员资源情况!$A$2,L206)&gt;M206,M206,(IF(任务计划表!L206="/",人员资源情况!$A$2,L206)))</f>
        <v/>
      </c>
      <c r="Q206">
        <f>IF(M206="/",人员资源情况!$B$2,任务计划表!M206)</f>
        <v/>
      </c>
      <c r="R206">
        <f>任务计划表!N206</f>
        <v/>
      </c>
      <c r="S206">
        <f>IF(O206=人员资源情况!C$2,1,0)</f>
        <v/>
      </c>
      <c r="T206">
        <f>IF(P206&gt;=人员资源情况!A$2,1,0)</f>
        <v/>
      </c>
      <c r="U206">
        <f>IF(Q206&lt;=人员资源情况!B$2,1,0)</f>
        <v/>
      </c>
      <c r="V206">
        <f>IF(T206*U206,Q206-P206,IF(T206&gt;U206,人员资源情况!B$2-P206,IF(T206&lt;U206,任务计划表!Q206-人员资源情况!A$2,0)))*R206*S206</f>
        <v/>
      </c>
      <c r="W206">
        <f>IF(V206&lt;0,0,V206)</f>
        <v/>
      </c>
    </row>
    <row r="207">
      <c r="E207" t="inlineStr">
        <is>
          <t>欧洲</t>
        </is>
      </c>
      <c r="F207" t="inlineStr">
        <is>
          <t>欧洲短款表</t>
        </is>
      </c>
      <c r="G207" t="inlineStr">
        <is>
          <t>2026-07-13</t>
        </is>
      </c>
      <c r="H207" t="inlineStr">
        <is>
          <t>2027-03-28</t>
        </is>
      </c>
      <c r="I207" t="inlineStr">
        <is>
          <t>TR4A</t>
        </is>
      </c>
      <c r="J207" t="inlineStr">
        <is>
          <t>硬件测试问题修改</t>
        </is>
      </c>
      <c r="K207" t="inlineStr">
        <is>
          <t>@童景顺(80004217)(童景顺)</t>
        </is>
      </c>
      <c r="L207" t="inlineStr">
        <is>
          <t>2026-10-15</t>
        </is>
      </c>
      <c r="M207" t="inlineStr">
        <is>
          <t>2026-10-15</t>
        </is>
      </c>
      <c r="N207" t="n">
        <v>4</v>
      </c>
      <c r="O207">
        <f>任务计划表!K207</f>
        <v/>
      </c>
      <c r="P207">
        <f>IF(IF(任务计划表!L207="/",人员资源情况!$A$2,L207)&gt;M207,M207,(IF(任务计划表!L207="/",人员资源情况!$A$2,L207)))</f>
        <v/>
      </c>
      <c r="Q207">
        <f>IF(M207="/",人员资源情况!$B$2,任务计划表!M207)</f>
        <v/>
      </c>
      <c r="R207">
        <f>任务计划表!N207</f>
        <v/>
      </c>
      <c r="S207">
        <f>IF(O207=人员资源情况!C$2,1,0)</f>
        <v/>
      </c>
      <c r="T207">
        <f>IF(P207&gt;=人员资源情况!A$2,1,0)</f>
        <v/>
      </c>
      <c r="U207">
        <f>IF(Q207&lt;=人员资源情况!B$2,1,0)</f>
        <v/>
      </c>
      <c r="V207">
        <f>IF(T207*U207,Q207-P207,IF(T207&gt;U207,人员资源情况!B$2-P207,IF(T207&lt;U207,任务计划表!Q207-人员资源情况!A$2,0)))*R207*S207</f>
        <v/>
      </c>
      <c r="W207">
        <f>IF(V207&lt;0,0,V207)</f>
        <v/>
      </c>
    </row>
    <row r="208">
      <c r="E208" t="inlineStr">
        <is>
          <t>欧洲</t>
        </is>
      </c>
      <c r="F208" t="inlineStr">
        <is>
          <t>欧洲短款表</t>
        </is>
      </c>
      <c r="G208" t="inlineStr">
        <is>
          <t>2026-07-13</t>
        </is>
      </c>
      <c r="H208" t="inlineStr">
        <is>
          <t>2027-03-28</t>
        </is>
      </c>
      <c r="I208" t="inlineStr">
        <is>
          <t>TR4A</t>
        </is>
      </c>
      <c r="J208" t="inlineStr">
        <is>
          <t>结构测试问题修改</t>
        </is>
      </c>
      <c r="K208" t="inlineStr">
        <is>
          <t>@罗穗安</t>
        </is>
      </c>
      <c r="L208" t="inlineStr">
        <is>
          <t>2026-10-15</t>
        </is>
      </c>
      <c r="M208" t="inlineStr">
        <is>
          <t>2026-10-15</t>
        </is>
      </c>
      <c r="N208" t="n">
        <v>4</v>
      </c>
      <c r="O208">
        <f>任务计划表!K208</f>
        <v/>
      </c>
      <c r="P208">
        <f>IF(IF(任务计划表!L208="/",人员资源情况!$A$2,L208)&gt;M208,M208,(IF(任务计划表!L208="/",人员资源情况!$A$2,L208)))</f>
        <v/>
      </c>
      <c r="Q208">
        <f>IF(M208="/",人员资源情况!$B$2,任务计划表!M208)</f>
        <v/>
      </c>
      <c r="R208">
        <f>任务计划表!N208</f>
        <v/>
      </c>
      <c r="S208">
        <f>IF(O208=人员资源情况!C$2,1,0)</f>
        <v/>
      </c>
      <c r="T208">
        <f>IF(P208&gt;=人员资源情况!A$2,1,0)</f>
        <v/>
      </c>
      <c r="U208">
        <f>IF(Q208&lt;=人员资源情况!B$2,1,0)</f>
        <v/>
      </c>
      <c r="V208">
        <f>IF(T208*U208,Q208-P208,IF(T208&gt;U208,人员资源情况!B$2-P208,IF(T208&lt;U208,任务计划表!Q208-人员资源情况!A$2,0)))*R208*S208</f>
        <v/>
      </c>
      <c r="W208">
        <f>IF(V208&lt;0,0,V208)</f>
        <v/>
      </c>
    </row>
    <row r="209">
      <c r="E209" t="inlineStr">
        <is>
          <t>欧洲</t>
        </is>
      </c>
      <c r="F209" t="inlineStr">
        <is>
          <t>欧洲短款表</t>
        </is>
      </c>
      <c r="G209" t="inlineStr">
        <is>
          <t>2026-07-13</t>
        </is>
      </c>
      <c r="H209" t="inlineStr">
        <is>
          <t>2027-03-28</t>
        </is>
      </c>
      <c r="I209" t="inlineStr">
        <is>
          <t>TR4A</t>
        </is>
      </c>
      <c r="J209" t="inlineStr">
        <is>
          <t>固件测试问题修改</t>
        </is>
      </c>
      <c r="K209" t="inlineStr">
        <is>
          <t>@袁琮欣(80015786)(袁琮欣)</t>
        </is>
      </c>
      <c r="L209" t="inlineStr">
        <is>
          <t>2026-10-15</t>
        </is>
      </c>
      <c r="M209" t="inlineStr">
        <is>
          <t>2026-10-15</t>
        </is>
      </c>
      <c r="N209" t="n">
        <v>4</v>
      </c>
      <c r="O209">
        <f>任务计划表!K209</f>
        <v/>
      </c>
      <c r="P209">
        <f>IF(IF(任务计划表!L209="/",人员资源情况!$A$2,L209)&gt;M209,M209,(IF(任务计划表!L209="/",人员资源情况!$A$2,L209)))</f>
        <v/>
      </c>
      <c r="Q209">
        <f>IF(M209="/",人员资源情况!$B$2,任务计划表!M209)</f>
        <v/>
      </c>
      <c r="R209">
        <f>任务计划表!N209</f>
        <v/>
      </c>
      <c r="S209">
        <f>IF(O209=人员资源情况!C$2,1,0)</f>
        <v/>
      </c>
      <c r="T209">
        <f>IF(P209&gt;=人员资源情况!A$2,1,0)</f>
        <v/>
      </c>
      <c r="U209">
        <f>IF(Q209&lt;=人员资源情况!B$2,1,0)</f>
        <v/>
      </c>
      <c r="V209">
        <f>IF(T209*U209,Q209-P209,IF(T209&gt;U209,人员资源情况!B$2-P209,IF(T209&lt;U209,任务计划表!Q209-人员资源情况!A$2,0)))*R209*S209</f>
        <v/>
      </c>
      <c r="W209">
        <f>IF(V209&lt;0,0,V209)</f>
        <v/>
      </c>
    </row>
    <row r="210">
      <c r="E210" t="inlineStr">
        <is>
          <t>欧洲</t>
        </is>
      </c>
      <c r="F210" t="inlineStr">
        <is>
          <t>欧洲短款表</t>
        </is>
      </c>
      <c r="G210" t="inlineStr">
        <is>
          <t>2026-07-13</t>
        </is>
      </c>
      <c r="H210" t="inlineStr">
        <is>
          <t>2027-03-28</t>
        </is>
      </c>
      <c r="I210" t="inlineStr">
        <is>
          <t>TR5</t>
        </is>
      </c>
      <c r="J210" t="inlineStr">
        <is>
          <t>DVT下单</t>
        </is>
      </c>
      <c r="K210" t="inlineStr">
        <is>
          <t>@韩燕飞</t>
        </is>
      </c>
      <c r="L210" t="inlineStr">
        <is>
          <t>2026-10-17</t>
        </is>
      </c>
      <c r="M210" t="inlineStr">
        <is>
          <t>2026-10-17</t>
        </is>
      </c>
      <c r="N210" t="n">
        <v>1</v>
      </c>
      <c r="O210">
        <f>任务计划表!K210</f>
        <v/>
      </c>
      <c r="P210">
        <f>IF(IF(任务计划表!L210="/",人员资源情况!$A$2,L210)&gt;M210,M210,(IF(任务计划表!L210="/",人员资源情况!$A$2,L210)))</f>
        <v/>
      </c>
      <c r="Q210">
        <f>IF(M210="/",人员资源情况!$B$2,任务计划表!M210)</f>
        <v/>
      </c>
      <c r="R210">
        <f>任务计划表!N210</f>
        <v/>
      </c>
      <c r="S210">
        <f>IF(O210=人员资源情况!C$2,1,0)</f>
        <v/>
      </c>
      <c r="T210">
        <f>IF(P210&gt;=人员资源情况!A$2,1,0)</f>
        <v/>
      </c>
      <c r="U210">
        <f>IF(Q210&lt;=人员资源情况!B$2,1,0)</f>
        <v/>
      </c>
      <c r="V210">
        <f>IF(T210*U210,Q210-P210,IF(T210&gt;U210,人员资源情况!B$2-P210,IF(T210&lt;U210,任务计划表!Q210-人员资源情况!A$2,0)))*R210*S210</f>
        <v/>
      </c>
      <c r="W210">
        <f>IF(V210&lt;0,0,V210)</f>
        <v/>
      </c>
    </row>
    <row r="211">
      <c r="E211" t="inlineStr">
        <is>
          <t>欧洲</t>
        </is>
      </c>
      <c r="F211" t="inlineStr">
        <is>
          <t>欧洲短款表</t>
        </is>
      </c>
      <c r="G211" t="inlineStr">
        <is>
          <t>2026-07-13</t>
        </is>
      </c>
      <c r="H211" t="inlineStr">
        <is>
          <t>2027-03-28</t>
        </is>
      </c>
      <c r="I211" t="inlineStr">
        <is>
          <t>TR5</t>
        </is>
      </c>
      <c r="J211" t="inlineStr">
        <is>
          <t>DVT-BOM归档</t>
        </is>
      </c>
      <c r="K211" t="inlineStr">
        <is>
          <t>@童景顺(80004217)(童景顺)</t>
        </is>
      </c>
      <c r="L211" t="inlineStr">
        <is>
          <t>2026-10-18</t>
        </is>
      </c>
      <c r="M211" t="inlineStr">
        <is>
          <t>2026-10-18</t>
        </is>
      </c>
      <c r="N211" t="n">
        <v>1</v>
      </c>
      <c r="O211">
        <f>任务计划表!K211</f>
        <v/>
      </c>
      <c r="P211">
        <f>IF(IF(任务计划表!L211="/",人员资源情况!$A$2,L211)&gt;M211,M211,(IF(任务计划表!L211="/",人员资源情况!$A$2,L211)))</f>
        <v/>
      </c>
      <c r="Q211">
        <f>IF(M211="/",人员资源情况!$B$2,任务计划表!M211)</f>
        <v/>
      </c>
      <c r="R211">
        <f>任务计划表!N211</f>
        <v/>
      </c>
      <c r="S211">
        <f>IF(O211=人员资源情况!C$2,1,0)</f>
        <v/>
      </c>
      <c r="T211">
        <f>IF(P211&gt;=人员资源情况!A$2,1,0)</f>
        <v/>
      </c>
      <c r="U211">
        <f>IF(Q211&lt;=人员资源情况!B$2,1,0)</f>
        <v/>
      </c>
      <c r="V211">
        <f>IF(T211*U211,Q211-P211,IF(T211&gt;U211,人员资源情况!B$2-P211,IF(T211&lt;U211,任务计划表!Q211-人员资源情况!A$2,0)))*R211*S211</f>
        <v/>
      </c>
      <c r="W211">
        <f>IF(V211&lt;0,0,V211)</f>
        <v/>
      </c>
    </row>
    <row r="212">
      <c r="E212" t="inlineStr">
        <is>
          <t>欧洲</t>
        </is>
      </c>
      <c r="F212" t="inlineStr">
        <is>
          <t>欧洲短款表</t>
        </is>
      </c>
      <c r="G212" t="inlineStr">
        <is>
          <t>2026-07-13</t>
        </is>
      </c>
      <c r="H212" t="inlineStr">
        <is>
          <t>2027-03-28</t>
        </is>
      </c>
      <c r="I212" t="inlineStr">
        <is>
          <t>TR5</t>
        </is>
      </c>
      <c r="J212" t="inlineStr">
        <is>
          <t>DVT-样机制作</t>
        </is>
      </c>
      <c r="K212" t="inlineStr">
        <is>
          <t>@文春英</t>
        </is>
      </c>
      <c r="L212" t="inlineStr">
        <is>
          <t>2026-11-13</t>
        </is>
      </c>
      <c r="M212" t="inlineStr">
        <is>
          <t>2026-11-17</t>
        </is>
      </c>
      <c r="N212" t="n">
        <v>8</v>
      </c>
      <c r="O212">
        <f>任务计划表!K212</f>
        <v/>
      </c>
      <c r="P212">
        <f>IF(IF(任务计划表!L212="/",人员资源情况!$A$2,L212)&gt;M212,M212,(IF(任务计划表!L212="/",人员资源情况!$A$2,L212)))</f>
        <v/>
      </c>
      <c r="Q212">
        <f>IF(M212="/",人员资源情况!$B$2,任务计划表!M212)</f>
        <v/>
      </c>
      <c r="R212">
        <f>任务计划表!N212</f>
        <v/>
      </c>
      <c r="S212">
        <f>IF(O212=人员资源情况!C$2,1,0)</f>
        <v/>
      </c>
      <c r="T212">
        <f>IF(P212&gt;=人员资源情况!A$2,1,0)</f>
        <v/>
      </c>
      <c r="U212">
        <f>IF(Q212&lt;=人员资源情况!B$2,1,0)</f>
        <v/>
      </c>
      <c r="V212">
        <f>IF(T212*U212,Q212-P212,IF(T212&gt;U212,人员资源情况!B$2-P212,IF(T212&lt;U212,任务计划表!Q212-人员资源情况!A$2,0)))*R212*S212</f>
        <v/>
      </c>
      <c r="W212">
        <f>IF(V212&lt;0,0,V212)</f>
        <v/>
      </c>
    </row>
    <row r="213">
      <c r="E213" t="inlineStr">
        <is>
          <t>欧洲</t>
        </is>
      </c>
      <c r="F213" t="inlineStr">
        <is>
          <t>欧洲短款表</t>
        </is>
      </c>
      <c r="G213" t="inlineStr">
        <is>
          <t>2026-07-13</t>
        </is>
      </c>
      <c r="H213" t="inlineStr">
        <is>
          <t>2027-03-28</t>
        </is>
      </c>
      <c r="I213" t="inlineStr">
        <is>
          <t>TR5</t>
        </is>
      </c>
      <c r="J213" t="inlineStr">
        <is>
          <t>DVT样机可生产性（定型机）评审</t>
        </is>
      </c>
      <c r="K213" t="inlineStr">
        <is>
          <t>@肖庆阳</t>
        </is>
      </c>
      <c r="L213" t="inlineStr">
        <is>
          <t>2026-11-18</t>
        </is>
      </c>
      <c r="M213" t="inlineStr">
        <is>
          <t>2026-11-18</t>
        </is>
      </c>
      <c r="N213" t="n">
        <v>8</v>
      </c>
      <c r="O213">
        <f>任务计划表!K213</f>
        <v/>
      </c>
      <c r="P213">
        <f>IF(IF(任务计划表!L213="/",人员资源情况!$A$2,L213)&gt;M213,M213,(IF(任务计划表!L213="/",人员资源情况!$A$2,L213)))</f>
        <v/>
      </c>
      <c r="Q213">
        <f>IF(M213="/",人员资源情况!$B$2,任务计划表!M213)</f>
        <v/>
      </c>
      <c r="R213">
        <f>任务计划表!N213</f>
        <v/>
      </c>
      <c r="S213">
        <f>IF(O213=人员资源情况!C$2,1,0)</f>
        <v/>
      </c>
      <c r="T213">
        <f>IF(P213&gt;=人员资源情况!A$2,1,0)</f>
        <v/>
      </c>
      <c r="U213">
        <f>IF(Q213&lt;=人员资源情况!B$2,1,0)</f>
        <v/>
      </c>
      <c r="V213">
        <f>IF(T213*U213,Q213-P213,IF(T213&gt;U213,人员资源情况!B$2-P213,IF(T213&lt;U213,任务计划表!Q213-人员资源情况!A$2,0)))*R213*S213</f>
        <v/>
      </c>
      <c r="W213">
        <f>IF(V213&lt;0,0,V213)</f>
        <v/>
      </c>
    </row>
    <row r="214">
      <c r="E214" t="inlineStr">
        <is>
          <t>欧洲</t>
        </is>
      </c>
      <c r="F214" t="inlineStr">
        <is>
          <t>欧洲短款表</t>
        </is>
      </c>
      <c r="G214" t="inlineStr">
        <is>
          <t>2026-07-13</t>
        </is>
      </c>
      <c r="H214" t="inlineStr">
        <is>
          <t>2027-03-28</t>
        </is>
      </c>
      <c r="I214" t="inlineStr">
        <is>
          <t>TR5</t>
        </is>
      </c>
      <c r="J214" t="inlineStr">
        <is>
          <t>工艺评审整改回复</t>
        </is>
      </c>
      <c r="K214" t="inlineStr">
        <is>
          <t>@肖庆阳</t>
        </is>
      </c>
      <c r="L214" t="inlineStr">
        <is>
          <t>2026-11-19</t>
        </is>
      </c>
      <c r="M214" t="inlineStr">
        <is>
          <t>2026-11-19</t>
        </is>
      </c>
      <c r="N214" t="n">
        <v>8</v>
      </c>
      <c r="O214">
        <f>任务计划表!K214</f>
        <v/>
      </c>
      <c r="P214">
        <f>IF(IF(任务计划表!L214="/",人员资源情况!$A$2,L214)&gt;M214,M214,(IF(任务计划表!L214="/",人员资源情况!$A$2,L214)))</f>
        <v/>
      </c>
      <c r="Q214">
        <f>IF(M214="/",人员资源情况!$B$2,任务计划表!M214)</f>
        <v/>
      </c>
      <c r="R214">
        <f>任务计划表!N214</f>
        <v/>
      </c>
      <c r="S214">
        <f>IF(O214=人员资源情况!C$2,1,0)</f>
        <v/>
      </c>
      <c r="T214">
        <f>IF(P214&gt;=人员资源情况!A$2,1,0)</f>
        <v/>
      </c>
      <c r="U214">
        <f>IF(Q214&lt;=人员资源情况!B$2,1,0)</f>
        <v/>
      </c>
      <c r="V214">
        <f>IF(T214*U214,Q214-P214,IF(T214&gt;U214,人员资源情况!B$2-P214,IF(T214&lt;U214,任务计划表!Q214-人员资源情况!A$2,0)))*R214*S214</f>
        <v/>
      </c>
      <c r="W214">
        <f>IF(V214&lt;0,0,V214)</f>
        <v/>
      </c>
    </row>
    <row r="215">
      <c r="E215" t="inlineStr">
        <is>
          <t>欧洲</t>
        </is>
      </c>
      <c r="F215" t="inlineStr">
        <is>
          <t>欧洲短款表</t>
        </is>
      </c>
      <c r="G215" t="inlineStr">
        <is>
          <t>2026-07-13</t>
        </is>
      </c>
      <c r="H215" t="inlineStr">
        <is>
          <t>2027-03-28</t>
        </is>
      </c>
      <c r="I215" t="inlineStr">
        <is>
          <t>TR6</t>
        </is>
      </c>
      <c r="J215" t="inlineStr">
        <is>
          <t>集成测试</t>
        </is>
      </c>
      <c r="K215" t="inlineStr">
        <is>
          <t xml:space="preserve"> @杨慧霞</t>
        </is>
      </c>
      <c r="L215" t="inlineStr">
        <is>
          <t>2026-11-20</t>
        </is>
      </c>
      <c r="M215" t="inlineStr">
        <is>
          <t>2026-12-05</t>
        </is>
      </c>
      <c r="N215" t="n">
        <v>0</v>
      </c>
      <c r="O215">
        <f>任务计划表!K215</f>
        <v/>
      </c>
      <c r="P215">
        <f>IF(IF(任务计划表!L215="/",人员资源情况!$A$2,L215)&gt;M215,M215,(IF(任务计划表!L215="/",人员资源情况!$A$2,L215)))</f>
        <v/>
      </c>
      <c r="Q215">
        <f>IF(M215="/",人员资源情况!$B$2,任务计划表!M215)</f>
        <v/>
      </c>
      <c r="R215">
        <f>任务计划表!N215</f>
        <v/>
      </c>
      <c r="S215">
        <f>IF(O215=人员资源情况!C$2,1,0)</f>
        <v/>
      </c>
      <c r="T215">
        <f>IF(P215&gt;=人员资源情况!A$2,1,0)</f>
        <v/>
      </c>
      <c r="U215">
        <f>IF(Q215&lt;=人员资源情况!B$2,1,0)</f>
        <v/>
      </c>
      <c r="V215">
        <f>IF(T215*U215,Q215-P215,IF(T215&gt;U215,人员资源情况!B$2-P215,IF(T215&lt;U215,任务计划表!Q215-人员资源情况!A$2,0)))*R215*S215</f>
        <v/>
      </c>
      <c r="W215">
        <f>IF(V215&lt;0,0,V215)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2026-07-24T02:38:13Z</dcterms:modified>
  <cp:lastModifiedBy>项家祺</cp:lastModifiedBy>
</cp:coreProperties>
</file>