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164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A32" s="0" t="inlineStr">
        <is>
          <t>已归档</t>
        </is>
      </c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  <c r="X33" s="0" t="inlineStr"/>
      <c r="Y33" s="0" t="inlineStr"/>
      <c r="Z33" s="0" t="inlineStr"/>
      <c r="AA33" s="0" t="inlineStr"/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s="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s="0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s="0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s="0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s="0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s="0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s="0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s="0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s="0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s="0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s="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s="0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s="0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s="0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s="0" t="inlineStr">
        <is>
          <t>已删除</t>
        </is>
      </c>
      <c r="E134" s="0" t="inlineStr">
        <is>
          <t>亚洲</t>
        </is>
      </c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s="0" t="inlineStr">
        <is>
          <t>已删除</t>
        </is>
      </c>
      <c r="E135" s="0" t="inlineStr">
        <is>
          <t>亚洲</t>
        </is>
      </c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s="0" t="inlineStr">
        <is>
          <t>已删除</t>
        </is>
      </c>
      <c r="E136" s="0" t="inlineStr">
        <is>
          <t>亚洲</t>
        </is>
      </c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s="0" t="inlineStr">
        <is>
          <t>已删除</t>
        </is>
      </c>
      <c r="E137" s="0" t="inlineStr">
        <is>
          <t>亚洲</t>
        </is>
      </c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s="0" t="inlineStr">
        <is>
          <t>已删除</t>
        </is>
      </c>
      <c r="E138" s="0" t="inlineStr">
        <is>
          <t>亚洲</t>
        </is>
      </c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s="0" t="inlineStr">
        <is>
          <t>已删除</t>
        </is>
      </c>
      <c r="E139" s="0" t="inlineStr">
        <is>
          <t>亚洲</t>
        </is>
      </c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s="0" t="inlineStr">
        <is>
          <t>已删除</t>
        </is>
      </c>
      <c r="E140" s="0" t="inlineStr">
        <is>
          <t>亚洲</t>
        </is>
      </c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s="0" t="inlineStr">
        <is>
          <t>已删除</t>
        </is>
      </c>
      <c r="E141" s="0" t="inlineStr">
        <is>
          <t>亚洲</t>
        </is>
      </c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s="0" t="inlineStr">
        <is>
          <t>已删除</t>
        </is>
      </c>
      <c r="E142" s="0" t="inlineStr">
        <is>
          <t>亚洲</t>
        </is>
      </c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s="0" t="inlineStr">
        <is>
          <t>已删除</t>
        </is>
      </c>
      <c r="E143" s="0" t="inlineStr">
        <is>
          <t>亚洲</t>
        </is>
      </c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s="0" t="inlineStr">
        <is>
          <t>已删除</t>
        </is>
      </c>
      <c r="E144" s="0" t="inlineStr">
        <is>
          <t>亚洲</t>
        </is>
      </c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s="0" t="inlineStr">
        <is>
          <t>已删除</t>
        </is>
      </c>
      <c r="E145" s="0" t="inlineStr">
        <is>
          <t>亚洲</t>
        </is>
      </c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s="0" t="inlineStr">
        <is>
          <t>已删除</t>
        </is>
      </c>
      <c r="E146" s="0" t="inlineStr">
        <is>
          <t>亚洲</t>
        </is>
      </c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s="0" t="inlineStr">
        <is>
          <t>已删除</t>
        </is>
      </c>
      <c r="E147" s="0" t="inlineStr">
        <is>
          <t>亚洲</t>
        </is>
      </c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  <row r="148">
      <c r="E148" s="0" t="inlineStr">
        <is>
          <t>亚洲</t>
        </is>
      </c>
      <c r="F148" s="0" t="inlineStr">
        <is>
          <t>巴勒斯坦超声户表二开</t>
        </is>
      </c>
      <c r="G148" s="0" t="inlineStr">
        <is>
          <t>2026-07-09</t>
        </is>
      </c>
      <c r="H148" s="0" t="inlineStr">
        <is>
          <t>2026-08-15</t>
        </is>
      </c>
      <c r="I148" s="0" t="inlineStr">
        <is>
          <t>TR1</t>
        </is>
      </c>
      <c r="J148" s="0" t="inlineStr">
        <is>
          <t>需求导入</t>
        </is>
      </c>
      <c r="K148" s="0" t="inlineStr">
        <is>
          <t>@毛文豪(80018842)</t>
        </is>
      </c>
      <c r="L148" s="0" t="inlineStr">
        <is>
          <t>2026-07-09</t>
        </is>
      </c>
      <c r="M148" s="0" t="inlineStr">
        <is>
          <t>2026-07-10</t>
        </is>
      </c>
      <c r="N148" s="0" t="n">
        <v>0</v>
      </c>
      <c r="O148" s="0">
        <f>任务计划表!K148</f>
        <v/>
      </c>
      <c r="P148" s="0">
        <f>IF(IF(任务计划表!L148="/",人员资源情况!$A$2,L148)&gt;M148,M148,(IF(任务计划表!L148="/",人员资源情况!$A$2,L148)))</f>
        <v/>
      </c>
      <c r="Q148" s="0">
        <f>IF(M148="/",人员资源情况!$B$2,任务计划表!M148)</f>
        <v/>
      </c>
      <c r="R148" s="0">
        <f>任务计划表!N148</f>
        <v/>
      </c>
      <c r="S148" s="0">
        <f>IF(O148=人员资源情况!C$2,1,0)</f>
        <v/>
      </c>
      <c r="T148" s="0">
        <f>IF(P148&gt;=人员资源情况!A$2,1,0)</f>
        <v/>
      </c>
      <c r="U148" s="0">
        <f>IF(Q148&lt;=人员资源情况!B$2,1,0)</f>
        <v/>
      </c>
      <c r="V148" s="0">
        <f>IF(T148*U148,Q148-P148,IF(T148&gt;U148,人员资源情况!B$2-P148,IF(T148&lt;U148,任务计划表!Q148-人员资源情况!A$2,0)))*R148*S148</f>
        <v/>
      </c>
      <c r="W148" s="0">
        <f>IF(V148&lt;0,0,V148)</f>
        <v/>
      </c>
    </row>
    <row r="149">
      <c r="E149" s="0" t="inlineStr">
        <is>
          <t>亚洲</t>
        </is>
      </c>
      <c r="F149" s="0" t="inlineStr">
        <is>
          <t>巴勒斯坦超声户表二开</t>
        </is>
      </c>
      <c r="G149" s="0" t="inlineStr">
        <is>
          <t>2026-07-09</t>
        </is>
      </c>
      <c r="H149" s="0" t="inlineStr">
        <is>
          <t>2026-08-15</t>
        </is>
      </c>
      <c r="I149" s="0" t="inlineStr">
        <is>
          <t>TR1</t>
        </is>
      </c>
      <c r="J149" s="0" t="inlineStr">
        <is>
          <t>需求评审</t>
        </is>
      </c>
      <c r="K149" s="0" t="inlineStr">
        <is>
          <t>@毛文豪(80018842)</t>
        </is>
      </c>
      <c r="L149" s="0" t="inlineStr">
        <is>
          <t>2026-07-09</t>
        </is>
      </c>
      <c r="M149" s="0" t="inlineStr">
        <is>
          <t>2026-07-10</t>
        </is>
      </c>
      <c r="N149" s="0" t="n">
        <v>0</v>
      </c>
      <c r="O149" s="0">
        <f>任务计划表!K149</f>
        <v/>
      </c>
      <c r="P149" s="0">
        <f>IF(IF(任务计划表!L149="/",人员资源情况!$A$2,L149)&gt;M149,M149,(IF(任务计划表!L149="/",人员资源情况!$A$2,L149)))</f>
        <v/>
      </c>
      <c r="Q149" s="0">
        <f>IF(M149="/",人员资源情况!$B$2,任务计划表!M149)</f>
        <v/>
      </c>
      <c r="R149" s="0">
        <f>任务计划表!N149</f>
        <v/>
      </c>
      <c r="S149" s="0">
        <f>IF(O149=人员资源情况!C$2,1,0)</f>
        <v/>
      </c>
      <c r="T149" s="0">
        <f>IF(P149&gt;=人员资源情况!A$2,1,0)</f>
        <v/>
      </c>
      <c r="U149" s="0">
        <f>IF(Q149&lt;=人员资源情况!B$2,1,0)</f>
        <v/>
      </c>
      <c r="V149" s="0">
        <f>IF(T149*U149,Q149-P149,IF(T149&gt;U149,人员资源情况!B$2-P149,IF(T149&lt;U149,任务计划表!Q149-人员资源情况!A$2,0)))*R149*S149</f>
        <v/>
      </c>
      <c r="W149" s="0">
        <f>IF(V149&lt;0,0,V149)</f>
        <v/>
      </c>
    </row>
    <row r="150">
      <c r="E150" s="0" t="inlineStr">
        <is>
          <t>亚洲</t>
        </is>
      </c>
      <c r="F150" s="0" t="inlineStr">
        <is>
          <t>巴勒斯坦超声户表二开</t>
        </is>
      </c>
      <c r="G150" s="0" t="inlineStr">
        <is>
          <t>2026-07-09</t>
        </is>
      </c>
      <c r="H150" s="0" t="inlineStr">
        <is>
          <t>2026-08-15</t>
        </is>
      </c>
      <c r="I150" s="0" t="inlineStr">
        <is>
          <t>TR3</t>
        </is>
      </c>
      <c r="J150" s="0" t="inlineStr">
        <is>
          <t>巴勒斯坦二开SE文档评审</t>
        </is>
      </c>
      <c r="K150" s="0" t="inlineStr">
        <is>
          <t>@毛文豪(80018842)</t>
        </is>
      </c>
      <c r="L150" s="0" t="inlineStr">
        <is>
          <t>2026-07-21</t>
        </is>
      </c>
      <c r="M150" s="0" t="inlineStr">
        <is>
          <t>2026-07-23</t>
        </is>
      </c>
      <c r="N150" s="0" t="n">
        <v>8</v>
      </c>
      <c r="O150" s="0">
        <f>任务计划表!K150</f>
        <v/>
      </c>
      <c r="P150" s="0">
        <f>IF(IF(任务计划表!L150="/",人员资源情况!$A$2,L150)&gt;M150,M150,(IF(任务计划表!L150="/",人员资源情况!$A$2,L150)))</f>
        <v/>
      </c>
      <c r="Q150" s="0">
        <f>IF(M150="/",人员资源情况!$B$2,任务计划表!M150)</f>
        <v/>
      </c>
      <c r="R150" s="0">
        <f>任务计划表!N150</f>
        <v/>
      </c>
      <c r="S150" s="0">
        <f>IF(O150=人员资源情况!C$2,1,0)</f>
        <v/>
      </c>
      <c r="T150" s="0">
        <f>IF(P150&gt;=人员资源情况!A$2,1,0)</f>
        <v/>
      </c>
      <c r="U150" s="0">
        <f>IF(Q150&lt;=人员资源情况!B$2,1,0)</f>
        <v/>
      </c>
      <c r="V150" s="0">
        <f>IF(T150*U150,Q150-P150,IF(T150&gt;U150,人员资源情况!B$2-P150,IF(T150&lt;U150,任务计划表!Q150-人员资源情况!A$2,0)))*R150*S150</f>
        <v/>
      </c>
      <c r="W150" s="0">
        <f>IF(V150&lt;0,0,V150)</f>
        <v/>
      </c>
    </row>
    <row r="151">
      <c r="E151" s="0" t="inlineStr">
        <is>
          <t>亚洲</t>
        </is>
      </c>
      <c r="F151" s="0" t="inlineStr">
        <is>
          <t>巴勒斯坦超声户表二开</t>
        </is>
      </c>
      <c r="G151" s="0" t="inlineStr">
        <is>
          <t>2026-07-09</t>
        </is>
      </c>
      <c r="H151" s="0" t="inlineStr">
        <is>
          <t>2026-08-15</t>
        </is>
      </c>
      <c r="I151" s="0" t="inlineStr">
        <is>
          <t>TR4</t>
        </is>
      </c>
      <c r="J151" s="0" t="inlineStr">
        <is>
          <t>水表固件代码编写</t>
        </is>
      </c>
      <c r="K151" s="0" t="inlineStr">
        <is>
          <t>@毛文豪(80018842)</t>
        </is>
      </c>
      <c r="L151" s="0" t="inlineStr">
        <is>
          <t>2026-07-23</t>
        </is>
      </c>
      <c r="M151" s="0" t="inlineStr">
        <is>
          <t>2026-07-25</t>
        </is>
      </c>
      <c r="N151" s="0" t="n">
        <v>6</v>
      </c>
      <c r="O151" s="0">
        <f>任务计划表!K151</f>
        <v/>
      </c>
      <c r="P151" s="0">
        <f>IF(IF(任务计划表!L151="/",人员资源情况!$A$2,L151)&gt;M151,M151,(IF(任务计划表!L151="/",人员资源情况!$A$2,L151)))</f>
        <v/>
      </c>
      <c r="Q151" s="0">
        <f>IF(M151="/",人员资源情况!$B$2,任务计划表!M151)</f>
        <v/>
      </c>
      <c r="R151" s="0">
        <f>任务计划表!N151</f>
        <v/>
      </c>
      <c r="S151" s="0">
        <f>IF(O151=人员资源情况!C$2,1,0)</f>
        <v/>
      </c>
      <c r="T151" s="0">
        <f>IF(P151&gt;=人员资源情况!A$2,1,0)</f>
        <v/>
      </c>
      <c r="U151" s="0">
        <f>IF(Q151&lt;=人员资源情况!B$2,1,0)</f>
        <v/>
      </c>
      <c r="V151" s="0">
        <f>IF(T151*U151,Q151-P151,IF(T151&gt;U151,人员资源情况!B$2-P151,IF(T151&lt;U151,任务计划表!Q151-人员资源情况!A$2,0)))*R151*S151</f>
        <v/>
      </c>
      <c r="W151" s="0">
        <f>IF(V151&lt;0,0,V151)</f>
        <v/>
      </c>
    </row>
    <row r="152">
      <c r="E152" s="0" t="inlineStr">
        <is>
          <t>亚洲</t>
        </is>
      </c>
      <c r="F152" s="0" t="inlineStr">
        <is>
          <t>巴勒斯坦超声户表二开</t>
        </is>
      </c>
      <c r="G152" s="0" t="inlineStr">
        <is>
          <t>2026-07-09</t>
        </is>
      </c>
      <c r="H152" s="0" t="inlineStr">
        <is>
          <t>2026-08-15</t>
        </is>
      </c>
      <c r="I152" s="0" t="inlineStr">
        <is>
          <t>TR4</t>
        </is>
      </c>
      <c r="J152" s="0" t="inlineStr">
        <is>
          <t>水表固件自测</t>
        </is>
      </c>
      <c r="K152" s="0" t="inlineStr">
        <is>
          <t>@毛文豪(80018842)</t>
        </is>
      </c>
      <c r="L152" s="0" t="inlineStr">
        <is>
          <t>2026-07-27</t>
        </is>
      </c>
      <c r="M152" s="0" t="inlineStr">
        <is>
          <t>2026-07-29</t>
        </is>
      </c>
      <c r="N152" s="0" t="n">
        <v>6</v>
      </c>
      <c r="O152" s="0">
        <f>任务计划表!K152</f>
        <v/>
      </c>
      <c r="P152" s="0">
        <f>IF(IF(任务计划表!L152="/",人员资源情况!$A$2,L152)&gt;M152,M152,(IF(任务计划表!L152="/",人员资源情况!$A$2,L152)))</f>
        <v/>
      </c>
      <c r="Q152" s="0">
        <f>IF(M152="/",人员资源情况!$B$2,任务计划表!M152)</f>
        <v/>
      </c>
      <c r="R152" s="0">
        <f>任务计划表!N152</f>
        <v/>
      </c>
      <c r="S152" s="0">
        <f>IF(O152=人员资源情况!C$2,1,0)</f>
        <v/>
      </c>
      <c r="T152" s="0">
        <f>IF(P152&gt;=人员资源情况!A$2,1,0)</f>
        <v/>
      </c>
      <c r="U152" s="0">
        <f>IF(Q152&lt;=人员资源情况!B$2,1,0)</f>
        <v/>
      </c>
      <c r="V152" s="0">
        <f>IF(T152*U152,Q152-P152,IF(T152&gt;U152,人员资源情况!B$2-P152,IF(T152&lt;U152,任务计划表!Q152-人员资源情况!A$2,0)))*R152*S152</f>
        <v/>
      </c>
      <c r="W152" s="0">
        <f>IF(V152&lt;0,0,V152)</f>
        <v/>
      </c>
    </row>
    <row r="153">
      <c r="E153" s="0" t="inlineStr">
        <is>
          <t>亚洲</t>
        </is>
      </c>
      <c r="F153" s="0" t="inlineStr">
        <is>
          <t>巴勒斯坦超声户表二开</t>
        </is>
      </c>
      <c r="G153" s="0" t="inlineStr">
        <is>
          <t>2026-07-09</t>
        </is>
      </c>
      <c r="H153" s="0" t="inlineStr">
        <is>
          <t>2026-08-15</t>
        </is>
      </c>
      <c r="I153" s="0" t="inlineStr">
        <is>
          <t>TR4</t>
        </is>
      </c>
      <c r="J153" s="0" t="inlineStr">
        <is>
          <t>CIU固件代码编写</t>
        </is>
      </c>
      <c r="K153" s="0" t="inlineStr">
        <is>
          <t>毛文豪</t>
        </is>
      </c>
      <c r="L153" s="0" t="inlineStr">
        <is>
          <t>2026-07-30</t>
        </is>
      </c>
      <c r="M153" s="0" t="inlineStr">
        <is>
          <t>2026-07-31</t>
        </is>
      </c>
      <c r="N153" s="0" t="n">
        <v>6</v>
      </c>
      <c r="O153" s="0">
        <f>任务计划表!K153</f>
        <v/>
      </c>
      <c r="P153" s="0">
        <f>IF(IF(任务计划表!L153="/",人员资源情况!$A$2,L153)&gt;M153,M153,(IF(任务计划表!L153="/",人员资源情况!$A$2,L153)))</f>
        <v/>
      </c>
      <c r="Q153" s="0">
        <f>IF(M153="/",人员资源情况!$B$2,任务计划表!M153)</f>
        <v/>
      </c>
      <c r="R153" s="0">
        <f>任务计划表!N153</f>
        <v/>
      </c>
      <c r="S153" s="0">
        <f>IF(O153=人员资源情况!C$2,1,0)</f>
        <v/>
      </c>
      <c r="T153" s="0">
        <f>IF(P153&gt;=人员资源情况!A$2,1,0)</f>
        <v/>
      </c>
      <c r="U153" s="0">
        <f>IF(Q153&lt;=人员资源情况!B$2,1,0)</f>
        <v/>
      </c>
      <c r="V153" s="0">
        <f>IF(T153*U153,Q153-P153,IF(T153&gt;U153,人员资源情况!B$2-P153,IF(T153&lt;U153,任务计划表!Q153-人员资源情况!A$2,0)))*R153*S153</f>
        <v/>
      </c>
      <c r="W153" s="0">
        <f>IF(V153&lt;0,0,V153)</f>
        <v/>
      </c>
    </row>
    <row r="154">
      <c r="E154" s="0" t="inlineStr">
        <is>
          <t>亚洲</t>
        </is>
      </c>
      <c r="F154" s="0" t="inlineStr">
        <is>
          <t>巴勒斯坦超声户表二开</t>
        </is>
      </c>
      <c r="G154" s="0" t="inlineStr">
        <is>
          <t>2026-07-09</t>
        </is>
      </c>
      <c r="H154" s="0" t="inlineStr">
        <is>
          <t>2026-08-15</t>
        </is>
      </c>
      <c r="I154" s="0" t="inlineStr">
        <is>
          <t>TR4A</t>
        </is>
      </c>
      <c r="J154" s="0" t="inlineStr">
        <is>
          <t>样机制作</t>
        </is>
      </c>
      <c r="K154" s="0" t="inlineStr">
        <is>
          <t>@文春英</t>
        </is>
      </c>
      <c r="L154" s="0" t="inlineStr">
        <is>
          <t>2026-07-30</t>
        </is>
      </c>
      <c r="M154" s="0" t="inlineStr">
        <is>
          <t>2026-08-03</t>
        </is>
      </c>
      <c r="N154" s="0" t="n">
        <v>2</v>
      </c>
      <c r="O154" s="0">
        <f>任务计划表!K154</f>
        <v/>
      </c>
      <c r="P154" s="0">
        <f>IF(IF(任务计划表!L154="/",人员资源情况!$A$2,L154)&gt;M154,M154,(IF(任务计划表!L154="/",人员资源情况!$A$2,L154)))</f>
        <v/>
      </c>
      <c r="Q154" s="0">
        <f>IF(M154="/",人员资源情况!$B$2,任务计划表!M154)</f>
        <v/>
      </c>
      <c r="R154" s="0">
        <f>任务计划表!N154</f>
        <v/>
      </c>
      <c r="S154" s="0">
        <f>IF(O154=人员资源情况!C$2,1,0)</f>
        <v/>
      </c>
      <c r="T154" s="0">
        <f>IF(P154&gt;=人员资源情况!A$2,1,0)</f>
        <v/>
      </c>
      <c r="U154" s="0">
        <f>IF(Q154&lt;=人员资源情况!B$2,1,0)</f>
        <v/>
      </c>
      <c r="V154" s="0">
        <f>IF(T154*U154,Q154-P154,IF(T154&gt;U154,人员资源情况!B$2-P154,IF(T154&lt;U154,任务计划表!Q154-人员资源情况!A$2,0)))*R154*S154</f>
        <v/>
      </c>
      <c r="W154" s="0">
        <f>IF(V154&lt;0,0,V154)</f>
        <v/>
      </c>
      <c r="X154" s="0" t="inlineStr"/>
      <c r="Y154" s="0" t="inlineStr"/>
      <c r="Z154" s="0" t="inlineStr"/>
      <c r="AA154" s="0" t="inlineStr"/>
    </row>
    <row r="155">
      <c r="E155" s="0" t="inlineStr">
        <is>
          <t>亚洲</t>
        </is>
      </c>
      <c r="F155" s="0" t="inlineStr">
        <is>
          <t>巴勒斯坦超声户表二开</t>
        </is>
      </c>
      <c r="G155" s="0" t="inlineStr">
        <is>
          <t>2026-07-09</t>
        </is>
      </c>
      <c r="H155" s="0" t="inlineStr">
        <is>
          <t>2026-08-15</t>
        </is>
      </c>
      <c r="I155" s="0" t="inlineStr">
        <is>
          <t>TR4</t>
        </is>
      </c>
      <c r="J155" s="0" t="inlineStr">
        <is>
          <t>测试用例评审</t>
        </is>
      </c>
      <c r="K155" s="0" t="inlineStr">
        <is>
          <t>@袁知正</t>
        </is>
      </c>
      <c r="L155" s="0" t="inlineStr">
        <is>
          <t>2026-07-23</t>
        </is>
      </c>
      <c r="M155" s="0" t="inlineStr">
        <is>
          <t>2026-07-29</t>
        </is>
      </c>
      <c r="N155" s="0" t="n">
        <v>2</v>
      </c>
      <c r="O155" s="0">
        <f>任务计划表!K155</f>
        <v/>
      </c>
      <c r="P155" s="0">
        <f>IF(IF(任务计划表!L155="/",人员资源情况!$A$2,L155)&gt;M155,M155,(IF(任务计划表!L155="/",人员资源情况!$A$2,L155)))</f>
        <v/>
      </c>
      <c r="Q155" s="0">
        <f>IF(M155="/",人员资源情况!$B$2,任务计划表!M155)</f>
        <v/>
      </c>
      <c r="R155" s="0">
        <f>任务计划表!N155</f>
        <v/>
      </c>
      <c r="S155" s="0">
        <f>IF(O155=人员资源情况!C$2,1,0)</f>
        <v/>
      </c>
      <c r="T155" s="0">
        <f>IF(P155&gt;=人员资源情况!A$2,1,0)</f>
        <v/>
      </c>
      <c r="U155" s="0">
        <f>IF(Q155&lt;=人员资源情况!B$2,1,0)</f>
        <v/>
      </c>
      <c r="V155" s="0">
        <f>IF(T155*U155,Q155-P155,IF(T155&gt;U155,人员资源情况!B$2-P155,IF(T155&lt;U155,任务计划表!Q155-人员资源情况!A$2,0)))*R155*S155</f>
        <v/>
      </c>
      <c r="W155" s="0">
        <f>IF(V155&lt;0,0,V155)</f>
        <v/>
      </c>
      <c r="X155" s="0" t="inlineStr">
        <is>
          <t>PENDING_EDIT</t>
        </is>
      </c>
      <c r="Y155" s="0" t="inlineStr">
        <is>
          <t>mwh|2026-07-23T09:11:37.682881</t>
        </is>
      </c>
      <c r="Z155" s="0" t="inlineStr">
        <is>
          <t>{"资源名称": "文春英", "资源开始时间": "2026-07-28", "资源结束时间": "2026-08-30", "资源类型": "样机制作", "日平均工时": 2}</t>
        </is>
      </c>
      <c r="AA155" s="0" t="inlineStr">
        <is>
          <t>edit</t>
        </is>
      </c>
    </row>
    <row r="156">
      <c r="E156" s="0" t="inlineStr">
        <is>
          <t>亚洲</t>
        </is>
      </c>
      <c r="F156" s="0" t="inlineStr">
        <is>
          <t>巴勒斯坦超声户表二开</t>
        </is>
      </c>
      <c r="G156" s="0" t="inlineStr">
        <is>
          <t>2026-07-09</t>
        </is>
      </c>
      <c r="H156" s="0" t="inlineStr">
        <is>
          <t>2026-08-15</t>
        </is>
      </c>
      <c r="I156" s="0" t="inlineStr">
        <is>
          <t>TR4A</t>
        </is>
      </c>
      <c r="J156" s="0" t="inlineStr">
        <is>
          <t>测试报告</t>
        </is>
      </c>
      <c r="K156" s="0" t="inlineStr">
        <is>
          <t>袁知正</t>
        </is>
      </c>
      <c r="L156" s="0" t="inlineStr">
        <is>
          <t>2026-07-30</t>
        </is>
      </c>
      <c r="M156" s="0" t="inlineStr">
        <is>
          <t>2026-08-14</t>
        </is>
      </c>
      <c r="N156" s="0" t="n">
        <v>8</v>
      </c>
      <c r="O156" s="0">
        <f>任务计划表!K156</f>
        <v/>
      </c>
      <c r="P156" s="0">
        <f>IF(IF(任务计划表!L156="/",人员资源情况!$A$2,L156)&gt;M156,M156,(IF(任务计划表!L156="/",人员资源情况!$A$2,L156)))</f>
        <v/>
      </c>
      <c r="Q156" s="0">
        <f>IF(M156="/",人员资源情况!$B$2,任务计划表!M156)</f>
        <v/>
      </c>
      <c r="R156" s="0">
        <f>任务计划表!N156</f>
        <v/>
      </c>
      <c r="S156" s="0">
        <f>IF(O156=人员资源情况!C$2,1,0)</f>
        <v/>
      </c>
      <c r="T156" s="0">
        <f>IF(P156&gt;=人员资源情况!A$2,1,0)</f>
        <v/>
      </c>
      <c r="U156" s="0">
        <f>IF(Q156&lt;=人员资源情况!B$2,1,0)</f>
        <v/>
      </c>
      <c r="V156" s="0">
        <f>IF(T156*U156,Q156-P156,IF(T156&gt;U156,人员资源情况!B$2-P156,IF(T156&lt;U156,任务计划表!Q156-人员资源情况!A$2,0)))*R156*S156</f>
        <v/>
      </c>
      <c r="W156" s="0">
        <f>IF(V156&lt;0,0,V156)</f>
        <v/>
      </c>
    </row>
    <row r="157">
      <c r="E157" s="0" t="inlineStr">
        <is>
          <t>亚洲</t>
        </is>
      </c>
      <c r="F157" s="0" t="inlineStr">
        <is>
          <t>巴勒斯坦超声户表二开</t>
        </is>
      </c>
      <c r="G157" s="0" t="inlineStr">
        <is>
          <t>2026-07-09</t>
        </is>
      </c>
      <c r="H157" s="0" t="inlineStr">
        <is>
          <t>2026-08-15</t>
        </is>
      </c>
      <c r="I157" s="0" t="inlineStr">
        <is>
          <t>TR4A</t>
        </is>
      </c>
      <c r="J157" s="0" t="inlineStr">
        <is>
          <t>测试报告评审</t>
        </is>
      </c>
      <c r="K157" s="0" t="inlineStr">
        <is>
          <t>@袁知正</t>
        </is>
      </c>
      <c r="L157" s="0" t="inlineStr">
        <is>
          <t>2026-08-12</t>
        </is>
      </c>
      <c r="M157" s="0" t="inlineStr">
        <is>
          <t>2026-08-13</t>
        </is>
      </c>
      <c r="N157" s="0" t="n">
        <v>1</v>
      </c>
      <c r="O157" s="0">
        <f>任务计划表!K157</f>
        <v/>
      </c>
      <c r="P157" s="0">
        <f>IF(IF(任务计划表!L157="/",人员资源情况!$A$2,L157)&gt;M157,M157,(IF(任务计划表!L157="/",人员资源情况!$A$2,L157)))</f>
        <v/>
      </c>
      <c r="Q157" s="0">
        <f>IF(M157="/",人员资源情况!$B$2,任务计划表!M157)</f>
        <v/>
      </c>
      <c r="R157" s="0">
        <f>任务计划表!N157</f>
        <v/>
      </c>
      <c r="S157" s="0">
        <f>IF(O157=人员资源情况!C$2,1,0)</f>
        <v/>
      </c>
      <c r="T157" s="0">
        <f>IF(P157&gt;=人员资源情况!A$2,1,0)</f>
        <v/>
      </c>
      <c r="U157" s="0">
        <f>IF(Q157&lt;=人员资源情况!B$2,1,0)</f>
        <v/>
      </c>
      <c r="V157" s="0">
        <f>IF(T157*U157,Q157-P157,IF(T157&gt;U157,人员资源情况!B$2-P157,IF(T157&lt;U157,任务计划表!Q157-人员资源情况!A$2,0)))*R157*S157</f>
        <v/>
      </c>
      <c r="W157" s="0">
        <f>IF(V157&lt;0,0,V157)</f>
        <v/>
      </c>
      <c r="X157" s="0" t="inlineStr">
        <is>
          <t>PENDING_EDIT</t>
        </is>
      </c>
      <c r="Y157" s="0" t="inlineStr">
        <is>
          <t>mwh|2026-07-23T09:11:06.370050</t>
        </is>
      </c>
      <c r="Z157" s="0" t="inlineStr">
        <is>
          <t>{"资源名称": "袁知正", "资源开始时间": "2026-07-30", "资源结束时间": "2026-08-05", "资源类型": "第一轮测试", "日平均工时": 8}</t>
        </is>
      </c>
      <c r="AA157" s="0" t="inlineStr">
        <is>
          <t>edit</t>
        </is>
      </c>
    </row>
    <row r="158">
      <c r="E158" s="0" t="inlineStr">
        <is>
          <t>亚洲</t>
        </is>
      </c>
      <c r="F158" s="0" t="inlineStr">
        <is>
          <t>巴勒斯坦超声户表二开</t>
        </is>
      </c>
      <c r="G158" s="0" t="inlineStr">
        <is>
          <t>2026-07-09</t>
        </is>
      </c>
      <c r="H158" s="0" t="inlineStr">
        <is>
          <t>2026-08-15</t>
        </is>
      </c>
      <c r="I158" s="0" t="inlineStr">
        <is>
          <t>TR5</t>
        </is>
      </c>
      <c r="J158" s="0" t="inlineStr">
        <is>
          <t>生产工艺及规程制定</t>
        </is>
      </c>
      <c r="K158" s="0" t="inlineStr">
        <is>
          <t>肖庆阳</t>
        </is>
      </c>
      <c r="L158" s="0" t="inlineStr">
        <is>
          <t>2026-08-15</t>
        </is>
      </c>
      <c r="M158" s="0" t="inlineStr">
        <is>
          <t>2026-08-17</t>
        </is>
      </c>
      <c r="N158" s="0" t="n">
        <v>8</v>
      </c>
      <c r="O158" s="0">
        <f>任务计划表!K158</f>
        <v/>
      </c>
      <c r="P158" s="0">
        <f>IF(IF(任务计划表!L158="/",人员资源情况!$A$2,L158)&gt;M158,M158,(IF(任务计划表!L158="/",人员资源情况!$A$2,L158)))</f>
        <v/>
      </c>
      <c r="Q158" s="0">
        <f>IF(M158="/",人员资源情况!$B$2,任务计划表!M158)</f>
        <v/>
      </c>
      <c r="R158" s="0">
        <f>任务计划表!N158</f>
        <v/>
      </c>
      <c r="S158" s="0">
        <f>IF(O158=人员资源情况!C$2,1,0)</f>
        <v/>
      </c>
      <c r="T158" s="0">
        <f>IF(P158&gt;=人员资源情况!A$2,1,0)</f>
        <v/>
      </c>
      <c r="U158" s="0">
        <f>IF(Q158&lt;=人员资源情况!B$2,1,0)</f>
        <v/>
      </c>
      <c r="V158" s="0">
        <f>IF(T158*U158,Q158-P158,IF(T158&gt;U158,人员资源情况!B$2-P158,IF(T158&lt;U158,任务计划表!Q158-人员资源情况!A$2,0)))*R158*S158</f>
        <v/>
      </c>
      <c r="W158" s="0">
        <f>IF(V158&lt;0,0,V158)</f>
        <v/>
      </c>
    </row>
    <row r="159">
      <c r="E159" s="0" t="inlineStr">
        <is>
          <t>亚洲</t>
        </is>
      </c>
      <c r="F159" s="0" t="inlineStr">
        <is>
          <t>巴勒斯坦超声户表二开</t>
        </is>
      </c>
      <c r="G159" s="0" t="inlineStr">
        <is>
          <t>2026-07-09</t>
        </is>
      </c>
      <c r="H159" s="0" t="inlineStr">
        <is>
          <t>2026-08-15</t>
        </is>
      </c>
      <c r="I159" s="0" t="inlineStr">
        <is>
          <t>TR5</t>
        </is>
      </c>
      <c r="J159" s="0" t="inlineStr">
        <is>
          <t>产品参数配置表</t>
        </is>
      </c>
      <c r="K159" s="0" t="inlineStr">
        <is>
          <t>@毛文豪(80018842)</t>
        </is>
      </c>
      <c r="L159" s="0" t="inlineStr">
        <is>
          <t>2026-08-13</t>
        </is>
      </c>
      <c r="M159" s="0" t="inlineStr">
        <is>
          <t>2026-08-14</t>
        </is>
      </c>
      <c r="N159" s="0" t="n">
        <v>2</v>
      </c>
      <c r="O159" s="0">
        <f>任务计划表!K159</f>
        <v/>
      </c>
      <c r="P159" s="0">
        <f>IF(IF(任务计划表!L159="/",人员资源情况!$A$2,L159)&gt;M159,M159,(IF(任务计划表!L159="/",人员资源情况!$A$2,L159)))</f>
        <v/>
      </c>
      <c r="Q159" s="0">
        <f>IF(M159="/",人员资源情况!$B$2,任务计划表!M159)</f>
        <v/>
      </c>
      <c r="R159" s="0">
        <f>任务计划表!N159</f>
        <v/>
      </c>
      <c r="S159" s="0">
        <f>IF(O159=人员资源情况!C$2,1,0)</f>
        <v/>
      </c>
      <c r="T159" s="0">
        <f>IF(P159&gt;=人员资源情况!A$2,1,0)</f>
        <v/>
      </c>
      <c r="U159" s="0">
        <f>IF(Q159&lt;=人员资源情况!B$2,1,0)</f>
        <v/>
      </c>
      <c r="V159" s="0">
        <f>IF(T159*U159,Q159-P159,IF(T159&gt;U159,人员资源情况!B$2-P159,IF(T159&lt;U159,任务计划表!Q159-人员资源情况!A$2,0)))*R159*S159</f>
        <v/>
      </c>
      <c r="W159" s="0">
        <f>IF(V159&lt;0,0,V159)</f>
        <v/>
      </c>
      <c r="X159" s="0" t="inlineStr">
        <is>
          <t>PENDING_EDIT</t>
        </is>
      </c>
      <c r="Y159" s="0" t="inlineStr">
        <is>
          <t>mwh|2026-07-23T07:58:52.608230</t>
        </is>
      </c>
      <c r="Z159" s="0" t="inlineStr">
        <is>
          <t>{"资源名称": "肖庆阳", "资源开始时间": "2026-08-15", "资源结束时间": "2026-08-17", "资源类型": "生产工艺及规程制定", "日平均工时": 8}</t>
        </is>
      </c>
      <c r="AA159" s="0" t="inlineStr">
        <is>
          <t>edit</t>
        </is>
      </c>
    </row>
    <row r="160">
      <c r="E160" s="0" t="inlineStr">
        <is>
          <t>亚洲</t>
        </is>
      </c>
      <c r="F160" s="0" t="inlineStr">
        <is>
          <t>巴勒斯坦超声户表二开</t>
        </is>
      </c>
      <c r="G160" s="0" t="inlineStr">
        <is>
          <t>2026-07-09</t>
        </is>
      </c>
      <c r="H160" s="0" t="inlineStr">
        <is>
          <t>2026-08-15</t>
        </is>
      </c>
      <c r="I160" s="0" t="inlineStr">
        <is>
          <t>TR5</t>
        </is>
      </c>
      <c r="J160" s="0" t="inlineStr">
        <is>
          <t>生产资料归档</t>
        </is>
      </c>
      <c r="K160" s="0" t="inlineStr">
        <is>
          <t>@肖庆阳</t>
        </is>
      </c>
      <c r="L160" s="0" t="inlineStr">
        <is>
          <t>2026-08-14</t>
        </is>
      </c>
      <c r="M160" s="0" t="inlineStr">
        <is>
          <t>2026-08-15</t>
        </is>
      </c>
      <c r="N160" s="0" t="n">
        <v>8</v>
      </c>
      <c r="O160" s="0">
        <f>任务计划表!K160</f>
        <v/>
      </c>
      <c r="P160" s="0">
        <f>IF(IF(任务计划表!L160="/",人员资源情况!$A$2,L160)&gt;M160,M160,(IF(任务计划表!L160="/",人员资源情况!$A$2,L160)))</f>
        <v/>
      </c>
      <c r="Q160" s="0">
        <f>IF(M160="/",人员资源情况!$B$2,任务计划表!M160)</f>
        <v/>
      </c>
      <c r="R160" s="0">
        <f>任务计划表!N160</f>
        <v/>
      </c>
      <c r="S160" s="0">
        <f>IF(O160=人员资源情况!C$2,1,0)</f>
        <v/>
      </c>
      <c r="T160" s="0">
        <f>IF(P160&gt;=人员资源情况!A$2,1,0)</f>
        <v/>
      </c>
      <c r="U160" s="0">
        <f>IF(Q160&lt;=人员资源情况!B$2,1,0)</f>
        <v/>
      </c>
      <c r="V160" s="0">
        <f>IF(T160*U160,Q160-P160,IF(T160&gt;U160,人员资源情况!B$2-P160,IF(T160&lt;U160,任务计划表!Q160-人员资源情况!A$2,0)))*R160*S160</f>
        <v/>
      </c>
      <c r="W160" s="0">
        <f>IF(V160&lt;0,0,V160)</f>
        <v/>
      </c>
    </row>
    <row r="161">
      <c r="E161" s="0" t="inlineStr">
        <is>
          <t>亚洲</t>
        </is>
      </c>
      <c r="F161" s="0" t="inlineStr">
        <is>
          <t>巴勒斯坦超声户表二开</t>
        </is>
      </c>
      <c r="G161" s="0" t="inlineStr">
        <is>
          <t>2026-07-09</t>
        </is>
      </c>
      <c r="H161" s="0" t="inlineStr">
        <is>
          <t>2026-08-15</t>
        </is>
      </c>
      <c r="I161" s="0" t="inlineStr">
        <is>
          <t>TR5</t>
        </is>
      </c>
      <c r="J161" s="0" t="inlineStr">
        <is>
          <t>项目结项评审</t>
        </is>
      </c>
      <c r="K161" s="0" t="inlineStr">
        <is>
          <t>@毛文豪(80018842)</t>
        </is>
      </c>
      <c r="L161" s="0" t="inlineStr">
        <is>
          <t>2026-08-14</t>
        </is>
      </c>
      <c r="M161" s="0" t="inlineStr">
        <is>
          <t>2026-08-15</t>
        </is>
      </c>
      <c r="N161" s="0" t="n">
        <v>1</v>
      </c>
      <c r="O161" s="0">
        <f>任务计划表!K161</f>
        <v/>
      </c>
      <c r="P161" s="0">
        <f>IF(IF(任务计划表!L161="/",人员资源情况!$A$2,L161)&gt;M161,M161,(IF(任务计划表!L161="/",人员资源情况!$A$2,L161)))</f>
        <v/>
      </c>
      <c r="Q161" s="0">
        <f>IF(M161="/",人员资源情况!$B$2,任务计划表!M161)</f>
        <v/>
      </c>
      <c r="R161" s="0">
        <f>任务计划表!N161</f>
        <v/>
      </c>
      <c r="S161" s="0">
        <f>IF(O161=人员资源情况!C$2,1,0)</f>
        <v/>
      </c>
      <c r="T161" s="0">
        <f>IF(P161&gt;=人员资源情况!A$2,1,0)</f>
        <v/>
      </c>
      <c r="U161" s="0">
        <f>IF(Q161&lt;=人员资源情况!B$2,1,0)</f>
        <v/>
      </c>
      <c r="V161" s="0">
        <f>IF(T161*U161,Q161-P161,IF(T161&gt;U161,人员资源情况!B$2-P161,IF(T161&lt;U161,任务计划表!Q161-人员资源情况!A$2,0)))*R161*S161</f>
        <v/>
      </c>
      <c r="W161" s="0">
        <f>IF(V161&lt;0,0,V161)</f>
        <v/>
      </c>
    </row>
    <row r="162">
      <c r="E162" s="0" t="inlineStr">
        <is>
          <t>日常工作</t>
        </is>
      </c>
      <c r="F162" s="0" t="inlineStr">
        <is>
          <t>非洲工装-曾翔</t>
        </is>
      </c>
      <c r="G162" s="0" t="inlineStr">
        <is>
          <t>1900-01-01</t>
        </is>
      </c>
      <c r="H162" s="0" t="inlineStr">
        <is>
          <t>2100-01-01</t>
        </is>
      </c>
      <c r="I162" s="0" t="inlineStr">
        <is>
          <t>非洲蓝牙工装</t>
        </is>
      </c>
      <c r="J162" s="0" t="inlineStr">
        <is>
          <t>固件工程师-开发</t>
        </is>
      </c>
      <c r="K162" s="0" t="inlineStr">
        <is>
          <t>@项家祺(80004213)(项家祺)</t>
        </is>
      </c>
      <c r="L162" s="0" t="inlineStr">
        <is>
          <t>2026-07-27</t>
        </is>
      </c>
      <c r="M162" s="0" t="inlineStr">
        <is>
          <t>2026-08-09</t>
        </is>
      </c>
      <c r="N162" s="0" t="n">
        <v>8</v>
      </c>
      <c r="O162" s="0">
        <f>任务计划表!K162</f>
        <v/>
      </c>
      <c r="P162" s="0">
        <f>IF(IF(任务计划表!L162="/",人员资源情况!$A$2,L162)&gt;M162,M162,(IF(任务计划表!L162="/",人员资源情况!$A$2,L162)))</f>
        <v/>
      </c>
      <c r="Q162" s="0">
        <f>IF(M162="/",人员资源情况!$B$2,任务计划表!M162)</f>
        <v/>
      </c>
      <c r="R162" s="0">
        <f>任务计划表!N162</f>
        <v/>
      </c>
      <c r="S162" s="0">
        <f>IF(O162=人员资源情况!C$2,1,0)</f>
        <v/>
      </c>
      <c r="T162" s="0">
        <f>IF(P162&gt;=人员资源情况!A$2,1,0)</f>
        <v/>
      </c>
      <c r="U162" s="0">
        <f>IF(Q162&lt;=人员资源情况!B$2,1,0)</f>
        <v/>
      </c>
      <c r="V162" s="0">
        <f>IF(T162*U162,Q162-P162,IF(T162&gt;U162,人员资源情况!B$2-P162,IF(T162&lt;U162,任务计划表!Q162-人员资源情况!A$2,0)))*R162*S162</f>
        <v/>
      </c>
      <c r="W162" s="0">
        <f>IF(V162&lt;0,0,V162)</f>
        <v/>
      </c>
    </row>
    <row r="163">
      <c r="A163" s="0" t="inlineStr"/>
      <c r="E163" s="0" t="inlineStr">
        <is>
          <t>日常工作</t>
        </is>
      </c>
      <c r="F163" s="0" t="inlineStr">
        <is>
          <t>非洲工装-曾翔</t>
        </is>
      </c>
      <c r="G163" s="0" t="inlineStr">
        <is>
          <t>1900-01-01</t>
        </is>
      </c>
      <c r="H163" s="0" t="inlineStr">
        <is>
          <t>2100-01-01</t>
        </is>
      </c>
      <c r="I163" s="0" t="inlineStr">
        <is>
          <t>非洲蓝牙工装</t>
        </is>
      </c>
      <c r="J163" s="0" t="inlineStr">
        <is>
          <t>固件工程师-开发</t>
        </is>
      </c>
      <c r="K163" s="0" t="inlineStr">
        <is>
          <t>@项家祺(80004213)(项家祺)</t>
        </is>
      </c>
      <c r="L163" s="0" t="inlineStr">
        <is>
          <t>2026-07-27</t>
        </is>
      </c>
      <c r="M163" s="0" t="inlineStr">
        <is>
          <t>2026-08-09</t>
        </is>
      </c>
      <c r="N163" s="0" t="n">
        <v>8</v>
      </c>
      <c r="O163" s="0">
        <f>任务计划表!K163</f>
        <v/>
      </c>
      <c r="P163" s="0">
        <f>IF(IF(任务计划表!L163="/",人员资源情况!$A$2,L163)&gt;M163,M163,(IF(任务计划表!L163="/",人员资源情况!$A$2,L163)))</f>
        <v/>
      </c>
      <c r="Q163" s="0">
        <f>IF(M163="/",人员资源情况!$B$2,任务计划表!M163)</f>
        <v/>
      </c>
      <c r="R163" s="0">
        <f>任务计划表!N163</f>
        <v/>
      </c>
      <c r="S163" s="0">
        <f>IF(O163=人员资源情况!C$2,1,0)</f>
        <v/>
      </c>
      <c r="T163" s="0">
        <f>IF(P163&gt;=人员资源情况!A$2,1,0)</f>
        <v/>
      </c>
      <c r="U163" s="0">
        <f>IF(Q163&lt;=人员资源情况!B$2,1,0)</f>
        <v/>
      </c>
      <c r="V163" s="0">
        <f>IF(T163*U163,Q163-P163,IF(T163&gt;U163,人员资源情况!B$2-P163,IF(T163&lt;U163,任务计划表!Q163-人员资源情况!A$2,0)))*R163*S163</f>
        <v/>
      </c>
      <c r="W163" s="0">
        <f>IF(V163&lt;0,0,V163)</f>
        <v/>
      </c>
    </row>
    <row r="164">
      <c r="E164" t="inlineStr">
        <is>
          <t>亚洲</t>
        </is>
      </c>
      <c r="F164" t="inlineStr">
        <is>
          <t>巴勒斯坦超声户表二开</t>
        </is>
      </c>
      <c r="G164" t="inlineStr">
        <is>
          <t>1900-01-01</t>
        </is>
      </c>
      <c r="H164" t="inlineStr">
        <is>
          <t>2100-01-01</t>
        </is>
      </c>
      <c r="I164" t="inlineStr">
        <is>
          <t>第二轮测试</t>
        </is>
      </c>
      <c r="J164" t="inlineStr">
        <is>
          <t>测试工程师</t>
        </is>
      </c>
      <c r="K164" t="inlineStr">
        <is>
          <t>@袁知正</t>
        </is>
      </c>
      <c r="L164" t="inlineStr">
        <is>
          <t>2026-08-07</t>
        </is>
      </c>
      <c r="M164" t="inlineStr">
        <is>
          <t>2026-08-13</t>
        </is>
      </c>
      <c r="N164" t="n">
        <v>8</v>
      </c>
      <c r="O164">
        <f>任务计划表!K164</f>
        <v/>
      </c>
      <c r="P164">
        <f>IF(IF(任务计划表!L164="/",人员资源情况!$A$2,L164)&gt;M164,M164,(IF(任务计划表!L164="/",人员资源情况!$A$2,L164)))</f>
        <v/>
      </c>
      <c r="Q164">
        <f>IF(M164="/",人员资源情况!$B$2,任务计划表!M164)</f>
        <v/>
      </c>
      <c r="R164">
        <f>任务计划表!N164</f>
        <v/>
      </c>
      <c r="S164">
        <f>IF(O164=人员资源情况!C$2,1,0)</f>
        <v/>
      </c>
      <c r="T164">
        <f>IF(P164&gt;=人员资源情况!A$2,1,0)</f>
        <v/>
      </c>
      <c r="U164">
        <f>IF(Q164&lt;=人员资源情况!B$2,1,0)</f>
        <v/>
      </c>
      <c r="V164">
        <f>IF(T164*U164,Q164-P164,IF(T164&gt;U164,人员资源情况!B$2-P164,IF(T164&lt;U164,任务计划表!Q164-人员资源情况!A$2,0)))*R164*S164</f>
        <v/>
      </c>
      <c r="W164">
        <f>IF(V164&lt;0,0,V164)</f>
        <v/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  <row r="8">
      <c r="A8" s="0" t="inlineStr">
        <is>
          <t>OP-20260723-007</t>
        </is>
      </c>
      <c r="B8" s="0" t="inlineStr">
        <is>
          <t>2026-07-23T07:56:35.008802</t>
        </is>
      </c>
      <c r="C8" s="0" t="inlineStr">
        <is>
          <t>mwh</t>
        </is>
      </c>
      <c r="D8" s="0" t="inlineStr">
        <is>
          <t>edit</t>
        </is>
      </c>
      <c r="E8" s="0" t="inlineStr">
        <is>
          <t>[152]</t>
        </is>
      </c>
      <c r="F8" s="0" t="inlineStr">
        <is>
          <t>["巴勒斯坦超声户表二开"]</t>
        </is>
      </c>
      <c r="G8" s="0" t="inlineStr">
        <is>
          <t>{"资源名称": "毛文豪", "资源开始时间": "2026-07-29", "资源结束时间": "2026-07-30", "资源类型": "CIU固件代码编写", "日平均工时": 6}</t>
        </is>
      </c>
      <c r="H8" s="0" t="inlineStr">
        <is>
          <t>{"资源名称": "毛文豪", "资源开始时间": "2026-07-30", "资源结束时间": "2026-07-31", "资源类型": "CIU固件代码编写", "日平均工时": 6}</t>
        </is>
      </c>
      <c r="I8" s="0" t="inlineStr">
        <is>
          <t>approved</t>
        </is>
      </c>
      <c r="J8" s="0" t="inlineStr"/>
      <c r="K8" s="0" t="inlineStr">
        <is>
          <t>xjq</t>
        </is>
      </c>
      <c r="L8" s="0" t="inlineStr">
        <is>
          <t>2026-07-23T09:05:22.196252</t>
        </is>
      </c>
    </row>
    <row r="9">
      <c r="A9" s="0" t="inlineStr">
        <is>
          <t>OP-20260723-008</t>
        </is>
      </c>
      <c r="B9" s="0" t="inlineStr">
        <is>
          <t>2026-07-23T07:58:53.007876</t>
        </is>
      </c>
      <c r="C9" s="0" t="inlineStr">
        <is>
          <t>mwh</t>
        </is>
      </c>
      <c r="D9" s="0" t="inlineStr">
        <is>
          <t>edit</t>
        </is>
      </c>
      <c r="E9" s="0" t="inlineStr">
        <is>
          <t>[157]</t>
        </is>
      </c>
      <c r="F9" s="0" t="inlineStr">
        <is>
          <t>["巴勒斯坦超声户表二开"]</t>
        </is>
      </c>
      <c r="G9" s="0" t="inlineStr">
        <is>
          <t>{"资源名称": "肖庆阳", "资源开始时间": "2026-08-13", "资源结束时间": "2026-08-14", "资源类型": "生产工艺及规程制定", "日平均工时": 8}</t>
        </is>
      </c>
      <c r="H9" s="0" t="inlineStr">
        <is>
          <t>{"资源名称": "肖庆阳", "资源开始时间": "2026-08-15", "资源结束时间": "2026-08-17", "资源类型": "生产工艺及规程制定", "日平均工时": 8}</t>
        </is>
      </c>
      <c r="I9" s="0" t="inlineStr">
        <is>
          <t>pending</t>
        </is>
      </c>
      <c r="J9" s="0" t="inlineStr"/>
      <c r="K9" s="0" t="inlineStr"/>
      <c r="L9" s="0" t="inlineStr"/>
    </row>
    <row r="10">
      <c r="A10" s="0" t="inlineStr">
        <is>
          <t>OP-20260723-009</t>
        </is>
      </c>
      <c r="B10" s="0" t="inlineStr">
        <is>
          <t>2026-07-23T07:59:29.311253</t>
        </is>
      </c>
      <c r="C10" s="0" t="inlineStr">
        <is>
          <t>mwh</t>
        </is>
      </c>
      <c r="D10" s="0" t="inlineStr">
        <is>
          <t>edit</t>
        </is>
      </c>
      <c r="E10" s="0" t="inlineStr">
        <is>
          <t>[155]</t>
        </is>
      </c>
      <c r="F10" s="0" t="inlineStr">
        <is>
          <t>["巴勒斯坦超声户表二开"]</t>
        </is>
      </c>
      <c r="G10" s="0" t="inlineStr">
        <is>
          <t>{"资源名称": "袁知正", "资源开始时间": "2026-07-30", "资源结束时间": "2026-08-12", "资源类型": "测试报告", "日平均工时": 8}</t>
        </is>
      </c>
      <c r="H10" s="0" t="inlineStr">
        <is>
          <t>{"资源名称": "袁知正", "资源开始时间": "2026-07-30", "资源结束时间": "2026-08-14", "资源类型": "测试报告", "日平均工时": 8}</t>
        </is>
      </c>
      <c r="I10" s="0" t="inlineStr">
        <is>
          <t>approved</t>
        </is>
      </c>
      <c r="J10" s="0" t="inlineStr"/>
      <c r="K10" s="0" t="inlineStr">
        <is>
          <t>xjq</t>
        </is>
      </c>
      <c r="L10" s="0" t="inlineStr">
        <is>
          <t>2026-07-23T09:07:00.994720</t>
        </is>
      </c>
    </row>
    <row r="11">
      <c r="A11" s="0" t="inlineStr">
        <is>
          <t>OP-20260723-010</t>
        </is>
      </c>
      <c r="B11" s="0" t="inlineStr">
        <is>
          <t>2026-07-23T08:03:07.712347</t>
        </is>
      </c>
      <c r="C11" s="0" t="inlineStr">
        <is>
          <t>mwh</t>
        </is>
      </c>
      <c r="D11" s="0" t="inlineStr">
        <is>
          <t>archive</t>
        </is>
      </c>
      <c r="E11" s="0" t="inlineStr">
        <is>
          <t>[31]</t>
        </is>
      </c>
      <c r="F11" s="0" t="inlineStr">
        <is>
          <t>["哥伦比亚相关"]</t>
        </is>
      </c>
      <c r="G11" s="0" t="inlineStr">
        <is>
          <t>{}</t>
        </is>
      </c>
      <c r="H11" s="0" t="inlineStr">
        <is>
          <t>{}</t>
        </is>
      </c>
      <c r="I11" s="0" t="inlineStr">
        <is>
          <t>pending</t>
        </is>
      </c>
      <c r="J11" s="0" t="inlineStr"/>
      <c r="K11" s="0" t="inlineStr"/>
      <c r="L11" s="0" t="inlineStr"/>
    </row>
    <row r="12">
      <c r="A12" s="0" t="inlineStr">
        <is>
          <t>OP-20260723-011</t>
        </is>
      </c>
      <c r="B12" s="0" t="inlineStr">
        <is>
          <t>2026-07-23T08:03:12.506476</t>
        </is>
      </c>
      <c r="C12" s="0" t="inlineStr">
        <is>
          <t>mwh</t>
        </is>
      </c>
      <c r="D12" s="0" t="inlineStr">
        <is>
          <t>archive</t>
        </is>
      </c>
      <c r="E12" s="0" t="inlineStr">
        <is>
          <t>[31]</t>
        </is>
      </c>
      <c r="F12" s="0" t="inlineStr">
        <is>
          <t>["哥伦比亚相关"]</t>
        </is>
      </c>
      <c r="G12" s="0" t="inlineStr">
        <is>
          <t>{}</t>
        </is>
      </c>
      <c r="H12" s="0" t="inlineStr">
        <is>
          <t>{}</t>
        </is>
      </c>
      <c r="I12" s="0" t="inlineStr">
        <is>
          <t>approved</t>
        </is>
      </c>
      <c r="J12" s="0" t="inlineStr"/>
      <c r="K12" s="0" t="inlineStr">
        <is>
          <t>xjq</t>
        </is>
      </c>
      <c r="L12" s="0" t="inlineStr">
        <is>
          <t>2026-07-23T08:20:37.902251</t>
        </is>
      </c>
    </row>
    <row r="13">
      <c r="A13" s="0" t="inlineStr">
        <is>
          <t>OP-20260723-012</t>
        </is>
      </c>
      <c r="B13" s="0" t="inlineStr">
        <is>
          <t>2026-07-23T09:11:06.675414</t>
        </is>
      </c>
      <c r="C13" s="0" t="inlineStr">
        <is>
          <t>mwh</t>
        </is>
      </c>
      <c r="D13" s="0" t="inlineStr">
        <is>
          <t>edit</t>
        </is>
      </c>
      <c r="E13" s="0" t="inlineStr">
        <is>
          <t>[155]</t>
        </is>
      </c>
      <c r="F13" s="0" t="inlineStr">
        <is>
          <t>["巴勒斯坦超声户表二开"]</t>
        </is>
      </c>
      <c r="G13" s="0" t="inlineStr">
        <is>
          <t>{"资源名称": "袁知正", "资源开始时间": "2026-07-30", "资源结束时间": "2026-08-14", "资源类型": "测试报告", "日平均工时": 8}</t>
        </is>
      </c>
      <c r="H13" s="0" t="inlineStr">
        <is>
          <t>{"资源名称": "袁知正", "资源开始时间": "2026-07-30", "资源结束时间": "2026-08-05", "资源类型": "第一轮测试", "日平均工时": 8}</t>
        </is>
      </c>
      <c r="I13" s="0" t="inlineStr">
        <is>
          <t>pending</t>
        </is>
      </c>
      <c r="J13" s="0" t="inlineStr"/>
      <c r="K13" s="0" t="inlineStr"/>
      <c r="L13" s="0" t="inlineStr"/>
    </row>
    <row r="14">
      <c r="A14" s="0" t="inlineStr">
        <is>
          <t>OP-20260723-013</t>
        </is>
      </c>
      <c r="B14" s="0" t="inlineStr">
        <is>
          <t>2026-07-23T09:11:38.074728</t>
        </is>
      </c>
      <c r="C14" s="0" t="inlineStr">
        <is>
          <t>mwh</t>
        </is>
      </c>
      <c r="D14" s="0" t="inlineStr">
        <is>
          <t>edit</t>
        </is>
      </c>
      <c r="E14" s="0" t="inlineStr">
        <is>
          <t>[153]</t>
        </is>
      </c>
      <c r="F14" s="0" t="inlineStr">
        <is>
          <t>["巴勒斯坦超声户表二开"]</t>
        </is>
      </c>
      <c r="G14" s="0" t="inlineStr">
        <is>
          <t>{"资源名称": "文春英", "资源开始时间": "2026-07-30", "资源结束时间": "2026-08-03", "资源类型": "样机制作", "日平均工时": 2}</t>
        </is>
      </c>
      <c r="H14" s="0" t="inlineStr">
        <is>
          <t>{"资源名称": "文春英", "资源开始时间": "2026-07-28", "资源结束时间": "2026-08-30", "资源类型": "样机制作", "日平均工时": 2}</t>
        </is>
      </c>
      <c r="I14" s="0" t="inlineStr">
        <is>
          <t>pending</t>
        </is>
      </c>
      <c r="J14" s="0" t="inlineStr"/>
      <c r="K14" s="0" t="inlineStr"/>
      <c r="L14" s="0" t="inlineStr"/>
    </row>
    <row r="15">
      <c r="A15" s="0" t="inlineStr">
        <is>
          <t>OP-20260723-014</t>
        </is>
      </c>
      <c r="B15" s="0" t="inlineStr">
        <is>
          <t>2026-07-23T09:13:28.712841</t>
        </is>
      </c>
      <c r="C15" s="0" t="inlineStr">
        <is>
          <t>mwh</t>
        </is>
      </c>
      <c r="D15" s="0" t="inlineStr">
        <is>
          <t>add</t>
        </is>
      </c>
      <c r="E15" s="0" t="inlineStr">
        <is>
          <t>[]</t>
        </is>
      </c>
      <c r="F15" s="0" t="inlineStr">
        <is>
          <t>["巴勒斯坦超声户表二开"]</t>
        </is>
      </c>
      <c r="G15" s="0" t="inlineStr">
        <is>
          <t>{}</t>
        </is>
      </c>
      <c r="H15" s="0" t="inlineStr">
        <is>
          <t>{"部门": "亚洲", "项目": "巴勒斯坦超声户表二开", "项目开始时间": "1900-01-01", "项目结束时间": "2100-01-01", "项目描述": "第二轮测试", "资源类型": "测试工程师", "资源名称": "袁知正", "资源开始时间": "2026-08-07", "资源结束时间": "2026-08-13", "日平均工时": 8, "已归档": false}</t>
        </is>
      </c>
      <c r="I15" s="0" t="inlineStr">
        <is>
          <t>pending</t>
        </is>
      </c>
      <c r="J15" s="0" t="inlineStr"/>
      <c r="K15" s="0" t="inlineStr"/>
      <c r="L15" s="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2026-07-23T09:16:01Z</dcterms:modified>
  <cp:lastModifiedBy>项家祺</cp:lastModifiedBy>
</cp:coreProperties>
</file>