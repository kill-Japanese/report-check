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@毛文豪(80018842)</t>
        </is>
      </c>
      <c r="L153" s="0" t="inlineStr">
        <is>
          <t>2026-07-29</t>
        </is>
      </c>
      <c r="M153" s="0" t="inlineStr">
        <is>
          <t>2026-07-30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@文春英</t>
        </is>
      </c>
      <c r="L154" s="0" t="inlineStr">
        <is>
          <t>2026-07-30</t>
        </is>
      </c>
      <c r="M154" s="0" t="inlineStr">
        <is>
          <t>2026-08-03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测试报告</t>
        </is>
      </c>
      <c r="K156" s="0" t="inlineStr">
        <is>
          <t>@袁知正</t>
        </is>
      </c>
      <c r="L156" s="0" t="inlineStr">
        <is>
          <t>2026-07-30</t>
        </is>
      </c>
      <c r="M156" s="0" t="inlineStr">
        <is>
          <t>2026-08-12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@袁知正</t>
        </is>
      </c>
      <c r="L157" s="0" t="inlineStr">
        <is>
          <t>2026-08-12</t>
        </is>
      </c>
      <c r="M157" s="0" t="inlineStr">
        <is>
          <t>2026-08-13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@肖庆阳</t>
        </is>
      </c>
      <c r="L158" s="0" t="inlineStr">
        <is>
          <t>2026-08-13</t>
        </is>
      </c>
      <c r="M158" s="0" t="inlineStr">
        <is>
          <t>2026-08-14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E163" t="inlineStr">
        <is>
          <t>日常工作</t>
        </is>
      </c>
      <c r="F163" t="inlineStr">
        <is>
          <t>非洲工装-曾翔</t>
        </is>
      </c>
      <c r="G163" t="inlineStr">
        <is>
          <t>1900-01-01</t>
        </is>
      </c>
      <c r="H163" t="inlineStr">
        <is>
          <t>2100-01-01</t>
        </is>
      </c>
      <c r="I163" t="inlineStr">
        <is>
          <t>非洲蓝牙工装</t>
        </is>
      </c>
      <c r="J163" t="inlineStr">
        <is>
          <t>固件工程师-开发</t>
        </is>
      </c>
      <c r="K163" t="inlineStr">
        <is>
          <t>@项家祺(80004213)(项家祺)</t>
        </is>
      </c>
      <c r="L163" t="inlineStr">
        <is>
          <t>2026-07-27</t>
        </is>
      </c>
      <c r="M163" t="inlineStr">
        <is>
          <t>2026-08-09</t>
        </is>
      </c>
      <c r="N163" t="n">
        <v>8</v>
      </c>
      <c r="O163">
        <f>任务计划表!K163</f>
        <v/>
      </c>
      <c r="P163">
        <f>IF(IF(任务计划表!L163="/",人员资源情况!$A$2,L163)&gt;M163,M163,(IF(任务计划表!L163="/",人员资源情况!$A$2,L163)))</f>
        <v/>
      </c>
      <c r="Q163">
        <f>IF(M163="/",人员资源情况!$B$2,任务计划表!M163)</f>
        <v/>
      </c>
      <c r="R163">
        <f>任务计划表!N163</f>
        <v/>
      </c>
      <c r="S163">
        <f>IF(O163=人员资源情况!C$2,1,0)</f>
        <v/>
      </c>
      <c r="T163">
        <f>IF(P163&gt;=人员资源情况!A$2,1,0)</f>
        <v/>
      </c>
      <c r="U163">
        <f>IF(Q163&lt;=人员资源情况!B$2,1,0)</f>
        <v/>
      </c>
      <c r="V163">
        <f>IF(T163*U163,Q163-P163,IF(T163&gt;U163,人员资源情况!B$2-P163,IF(T163&lt;U163,任务计划表!Q163-人员资源情况!A$2,0)))*R163*S163</f>
        <v/>
      </c>
      <c r="W163">
        <f>IF(V163&lt;0,0,V163)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2026-07-23T07:21:14Z</dcterms:modified>
  <cp:lastModifiedBy>项家祺</cp:lastModifiedBy>
</cp:coreProperties>
</file>