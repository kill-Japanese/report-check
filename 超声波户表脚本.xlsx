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4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  <c r="X8" s="0" t="inlineStr">
        <is>
          <t>PENDING_EDIT</t>
        </is>
      </c>
      <c r="Y8" s="0" t="inlineStr">
        <is>
          <t>zgq|2026-08-04T08:11:11.917694</t>
        </is>
      </c>
      <c r="Z8" s="0" t="inlineStr">
        <is>
          <t>{"部门": "巴西经营中心", "项目": "巴西NB-V3", "项目描述": "TR4A-测试阶段", "资源类型": "固件工程师-L660测试/BC680", "资源名称": "张国庆", "资源开始时间": "2026-07-28", "资源结束时间": "2026-08-31", "日平均工时": 4}</t>
        </is>
      </c>
      <c r="AA8" s="0" t="inlineStr">
        <is>
          <t>edit</t>
        </is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  <c r="X10" s="0" t="inlineStr">
        <is>
          <t>PENDING_EDIT</t>
        </is>
      </c>
      <c r="Y10" s="0" t="inlineStr">
        <is>
          <t>zgq|2026-08-04T02:54:12.611383</t>
        </is>
      </c>
      <c r="Z10" s="0" t="inlineStr">
        <is>
          <t>{"部门": "巴西经营中心", "项目": "巴西NB-V3.1预研", "项目描述": "", "资源类型": "固件工程师-三轴传感器预研", "资源名称": "张国庆", "资源开始时间": "2026-08-03", "资源结束时间": "2026-08-31", "日平均工时": 4}</t>
        </is>
      </c>
      <c r="AA10" s="0" t="inlineStr">
        <is>
          <t>edit</t>
        </is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inlineStr">
        <is>
          <t>2026-08-03</t>
        </is>
      </c>
      <c r="M19" s="20" t="inlineStr">
        <is>
          <t>2026-08-12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inlineStr">
        <is>
          <t>2026-08-31</t>
        </is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2026-08-06</t>
        </is>
      </c>
      <c r="N29" s="79" t="n">
        <v>2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>危才文</t>
        </is>
      </c>
      <c r="L56" s="19" t="inlineStr">
        <is>
          <t>2026-07-30</t>
        </is>
      </c>
      <c r="M56" s="19" t="inlineStr">
        <is>
          <t>2026-08-09</t>
        </is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A154" s="0" t="inlineStr">
        <is>
          <t>已归档</t>
        </is>
      </c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贺敬轩</t>
        </is>
      </c>
      <c r="L155" s="0" t="inlineStr">
        <is>
          <t>2026-08-03</t>
        </is>
      </c>
      <c r="M155" s="0" t="inlineStr">
        <is>
          <t>2026-08-04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贺敬轩</t>
        </is>
      </c>
      <c r="L156" s="0" t="inlineStr">
        <is>
          <t>2026-08-05</t>
        </is>
      </c>
      <c r="M156" s="0" t="inlineStr">
        <is>
          <t>2026-08-11</t>
        </is>
      </c>
      <c r="N156" s="0" t="n">
        <v>5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2026-08-17</t>
        </is>
      </c>
      <c r="M157" s="0" t="inlineStr">
        <is>
          <t>2026-08-18</t>
        </is>
      </c>
      <c r="N157" s="0" t="n">
        <v>2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贺敬轩</t>
        </is>
      </c>
      <c r="L165" s="0" t="inlineStr">
        <is>
          <t>2026-08-13</t>
        </is>
      </c>
      <c r="M165" s="0" t="inlineStr">
        <is>
          <t>2026-08-17</t>
        </is>
      </c>
      <c r="N165" s="0" t="n">
        <v>6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s="0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/>
      <c r="Y216" s="0" t="inlineStr"/>
      <c r="Z216" s="0" t="inlineStr"/>
      <c r="AA216" s="0" t="inlineStr"/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A221" s="0" t="inlineStr">
        <is>
          <t>已归档</t>
        </is>
      </c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  <c r="X221" s="0" t="inlineStr"/>
      <c r="Y221" s="0" t="inlineStr"/>
      <c r="Z221" s="0" t="inlineStr"/>
      <c r="AA221" s="0" t="inlineStr"/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归档</t>
        </is>
      </c>
      <c r="K222" s="0" t="inlineStr">
        <is>
          <t>@袁知正</t>
        </is>
      </c>
      <c r="L222" s="0" t="inlineStr">
        <is>
          <t>2026-08-18</t>
        </is>
      </c>
      <c r="M222" s="0" t="inlineStr">
        <is>
          <t>2026-08-18</t>
        </is>
      </c>
      <c r="N222" s="0" t="n">
        <v>2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舒杰</t>
        </is>
      </c>
      <c r="L223" s="0" t="inlineStr">
        <is>
          <t>2026-07-27</t>
        </is>
      </c>
      <c r="M223" s="0" t="inlineStr">
        <is>
          <t>2026-08-09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  <c r="X223" s="0" t="inlineStr"/>
      <c r="Y223" s="0" t="inlineStr"/>
      <c r="Z223" s="0" t="inlineStr"/>
      <c r="AA223" s="0" t="inlineStr"/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舒杰</t>
        </is>
      </c>
      <c r="L224" s="0" t="inlineStr">
        <is>
          <t>2026-07-27</t>
        </is>
      </c>
      <c r="M224" s="0" t="inlineStr">
        <is>
          <t>2026-08-09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  <c r="X224" s="0" t="inlineStr"/>
      <c r="Y224" s="0" t="inlineStr"/>
      <c r="Z224" s="0" t="inlineStr"/>
      <c r="AA224" s="0" t="inlineStr"/>
    </row>
    <row r="225">
      <c r="E225" s="0" t="inlineStr">
        <is>
          <t>欧洲</t>
        </is>
      </c>
      <c r="F225" s="0" t="inlineStr">
        <is>
          <t>乌拉圭样机</t>
        </is>
      </c>
      <c r="G225" s="0" t="inlineStr">
        <is>
          <t>1900-01-01</t>
        </is>
      </c>
      <c r="H225" s="0" t="inlineStr">
        <is>
          <t>2100-01-01</t>
        </is>
      </c>
      <c r="I225" s="0" t="inlineStr">
        <is>
          <t>TR3乌拉圭样机SE文档</t>
        </is>
      </c>
      <c r="J225" s="0" t="inlineStr">
        <is>
          <t>SE设计</t>
        </is>
      </c>
      <c r="K225" s="0" t="inlineStr">
        <is>
          <t>@答金雨(80016793)</t>
        </is>
      </c>
      <c r="L225" s="0" t="inlineStr">
        <is>
          <t>2026-08-03</t>
        </is>
      </c>
      <c r="M225" s="0" t="inlineStr">
        <is>
          <t>2026-08-07</t>
        </is>
      </c>
      <c r="N225" s="0" t="n">
        <v>6</v>
      </c>
      <c r="O225" s="0">
        <f>任务计划表!K225</f>
        <v/>
      </c>
      <c r="P225" s="0">
        <f>IF(IF(任务计划表!L225="/",人员资源情况!$A$2,L225)&gt;M225,M225,(IF(任务计划表!L225="/",人员资源情况!$A$2,L225)))</f>
        <v/>
      </c>
      <c r="Q225" s="0">
        <f>IF(M225="/",人员资源情况!$B$2,任务计划表!M225)</f>
        <v/>
      </c>
      <c r="R225" s="0">
        <f>任务计划表!N225</f>
        <v/>
      </c>
      <c r="S225" s="0">
        <f>IF(O225=人员资源情况!C$2,1,0)</f>
        <v/>
      </c>
      <c r="T225" s="0">
        <f>IF(P225&gt;=人员资源情况!A$2,1,0)</f>
        <v/>
      </c>
      <c r="U225" s="0">
        <f>IF(Q225&lt;=人员资源情况!B$2,1,0)</f>
        <v/>
      </c>
      <c r="V225" s="0">
        <f>IF(T225*U225,Q225-P225,IF(T225&gt;U225,人员资源情况!B$2-P225,IF(T225&lt;U225,任务计划表!Q225-人员资源情况!A$2,0)))*R225*S225</f>
        <v/>
      </c>
      <c r="W225" s="0">
        <f>IF(V225&lt;0,0,V225)</f>
        <v/>
      </c>
    </row>
    <row r="226">
      <c r="E226" s="0" t="inlineStr">
        <is>
          <t>欧洲</t>
        </is>
      </c>
      <c r="F226" s="0" t="inlineStr">
        <is>
          <t>乌拉圭样机</t>
        </is>
      </c>
      <c r="G226" s="0" t="inlineStr">
        <is>
          <t>1900-01-01</t>
        </is>
      </c>
      <c r="H226" s="0" t="inlineStr">
        <is>
          <t>2100-01-01</t>
        </is>
      </c>
      <c r="I226" s="0" t="inlineStr">
        <is>
          <t>TR3乌拉圭样机SE文档</t>
        </is>
      </c>
      <c r="J226" s="0" t="inlineStr">
        <is>
          <t>固件开发</t>
        </is>
      </c>
      <c r="K226" s="0" t="inlineStr">
        <is>
          <t>@答金雨(80016793)</t>
        </is>
      </c>
      <c r="L226" s="0" t="inlineStr">
        <is>
          <t>2026-08-10</t>
        </is>
      </c>
      <c r="M226" s="0" t="inlineStr">
        <is>
          <t>2026-08-14</t>
        </is>
      </c>
      <c r="N226" s="0" t="n">
        <v>4</v>
      </c>
      <c r="O226" s="0">
        <f>任务计划表!K226</f>
        <v/>
      </c>
      <c r="P226" s="0">
        <f>IF(IF(任务计划表!L226="/",人员资源情况!$A$2,L226)&gt;M226,M226,(IF(任务计划表!L226="/",人员资源情况!$A$2,L226)))</f>
        <v/>
      </c>
      <c r="Q226" s="0">
        <f>IF(M226="/",人员资源情况!$B$2,任务计划表!M226)</f>
        <v/>
      </c>
      <c r="R226" s="0">
        <f>任务计划表!N226</f>
        <v/>
      </c>
      <c r="S226" s="0">
        <f>IF(O226=人员资源情况!C$2,1,0)</f>
        <v/>
      </c>
      <c r="T226" s="0">
        <f>IF(P226&gt;=人员资源情况!A$2,1,0)</f>
        <v/>
      </c>
      <c r="U226" s="0">
        <f>IF(Q226&lt;=人员资源情况!B$2,1,0)</f>
        <v/>
      </c>
      <c r="V226" s="0">
        <f>IF(T226*U226,Q226-P226,IF(T226&gt;U226,人员资源情况!B$2-P226,IF(T226&lt;U226,任务计划表!Q226-人员资源情况!A$2,0)))*R226*S226</f>
        <v/>
      </c>
      <c r="W226" s="0">
        <f>IF(V226&lt;0,0,V226)</f>
        <v/>
      </c>
    </row>
    <row r="227">
      <c r="E227" s="0" t="inlineStr">
        <is>
          <t>巴西经营中心</t>
        </is>
      </c>
      <c r="F227" s="0" t="inlineStr">
        <is>
          <t>DLMS系统联调</t>
        </is>
      </c>
      <c r="G227" s="0" t="inlineStr">
        <is>
          <t>1900-01-01</t>
        </is>
      </c>
      <c r="H227" s="0" t="inlineStr">
        <is>
          <t>2026-08-14</t>
        </is>
      </c>
      <c r="I227" s="0" t="inlineStr">
        <is>
          <t>TR4</t>
        </is>
      </c>
      <c r="J227" s="0" t="inlineStr">
        <is>
          <t>push interval 1-2 初步分析</t>
        </is>
      </c>
      <c r="K227" s="0" t="inlineStr">
        <is>
          <t>@张国庆(80019159)</t>
        </is>
      </c>
      <c r="L227" s="0" t="inlineStr">
        <is>
          <t>2026-08-03</t>
        </is>
      </c>
      <c r="M227" s="0" t="inlineStr">
        <is>
          <t>2026-08-06</t>
        </is>
      </c>
      <c r="N227" s="0" t="n">
        <v>4</v>
      </c>
      <c r="O227" s="0">
        <f>任务计划表!K227</f>
        <v/>
      </c>
      <c r="P227" s="0">
        <f>IF(IF(任务计划表!L227="/",人员资源情况!$A$2,L227)&gt;M227,M227,(IF(任务计划表!L227="/",人员资源情况!$A$2,L227)))</f>
        <v/>
      </c>
      <c r="Q227" s="0">
        <f>IF(M227="/",人员资源情况!$B$2,任务计划表!M227)</f>
        <v/>
      </c>
      <c r="R227" s="0">
        <f>任务计划表!N227</f>
        <v/>
      </c>
      <c r="S227" s="0">
        <f>IF(O227=人员资源情况!C$2,1,0)</f>
        <v/>
      </c>
      <c r="T227" s="0">
        <f>IF(P227&gt;=人员资源情况!A$2,1,0)</f>
        <v/>
      </c>
      <c r="U227" s="0">
        <f>IF(Q227&lt;=人员资源情况!B$2,1,0)</f>
        <v/>
      </c>
      <c r="V227" s="0">
        <f>IF(T227*U227,Q227-P227,IF(T227&gt;U227,人员资源情况!B$2-P227,IF(T227&lt;U227,任务计划表!Q227-人员资源情况!A$2,0)))*R227*S227</f>
        <v/>
      </c>
      <c r="W227" s="0">
        <f>IF(V227&lt;0,0,V227)</f>
        <v/>
      </c>
    </row>
    <row r="228">
      <c r="E228" s="0" t="inlineStr">
        <is>
          <t>巴西经营中心</t>
        </is>
      </c>
      <c r="F228" s="0" t="inlineStr">
        <is>
          <t>DLMS系统联调</t>
        </is>
      </c>
      <c r="G228" s="0" t="inlineStr">
        <is>
          <t>1900-01-01</t>
        </is>
      </c>
      <c r="H228" s="0" t="inlineStr">
        <is>
          <t>2026-08-14</t>
        </is>
      </c>
      <c r="I228" s="0" t="inlineStr">
        <is>
          <t>TR4</t>
        </is>
      </c>
      <c r="J228" s="0" t="inlineStr">
        <is>
          <t>push interval 1-2 代码修复</t>
        </is>
      </c>
      <c r="K228" s="0" t="inlineStr">
        <is>
          <t>@袁琮欣(80015786)(袁琮欣)</t>
        </is>
      </c>
      <c r="L228" s="0" t="inlineStr">
        <is>
          <t>2026-08-03</t>
        </is>
      </c>
      <c r="M228" s="0" t="inlineStr">
        <is>
          <t>2026-08-04</t>
        </is>
      </c>
      <c r="N228" s="0" t="n">
        <v>2</v>
      </c>
      <c r="O228" s="0">
        <f>任务计划表!K228</f>
        <v/>
      </c>
      <c r="P228" s="0">
        <f>IF(IF(任务计划表!L228="/",人员资源情况!$A$2,L228)&gt;M228,M228,(IF(任务计划表!L228="/",人员资源情况!$A$2,L228)))</f>
        <v/>
      </c>
      <c r="Q228" s="0">
        <f>IF(M228="/",人员资源情况!$B$2,任务计划表!M228)</f>
        <v/>
      </c>
      <c r="R228" s="0">
        <f>任务计划表!N228</f>
        <v/>
      </c>
      <c r="S228" s="0">
        <f>IF(O228=人员资源情况!C$2,1,0)</f>
        <v/>
      </c>
      <c r="T228" s="0">
        <f>IF(P228&gt;=人员资源情况!A$2,1,0)</f>
        <v/>
      </c>
      <c r="U228" s="0">
        <f>IF(Q228&lt;=人员资源情况!B$2,1,0)</f>
        <v/>
      </c>
      <c r="V228" s="0">
        <f>IF(T228*U228,Q228-P228,IF(T228&gt;U228,人员资源情况!B$2-P228,IF(T228&lt;U228,任务计划表!Q228-人员资源情况!A$2,0)))*R228*S228</f>
        <v/>
      </c>
      <c r="W228" s="0">
        <f>IF(V228&lt;0,0,V228)</f>
        <v/>
      </c>
    </row>
    <row r="229">
      <c r="E229" s="0" t="inlineStr">
        <is>
          <t>巴西经营中心</t>
        </is>
      </c>
      <c r="F229" s="0" t="inlineStr">
        <is>
          <t>DLMS系统联调</t>
        </is>
      </c>
      <c r="G229" s="0" t="inlineStr">
        <is>
          <t>1900-01-01</t>
        </is>
      </c>
      <c r="H229" s="0" t="inlineStr">
        <is>
          <t>2026-08-14</t>
        </is>
      </c>
      <c r="I229" s="0" t="inlineStr">
        <is>
          <t>TR4</t>
        </is>
      </c>
      <c r="J229" s="0" t="inlineStr">
        <is>
          <t>Pull-系统与水表传输解密过</t>
        </is>
      </c>
      <c r="K229" s="0" t="inlineStr">
        <is>
          <t>@袁琮欣(80015786)(袁琮欣)</t>
        </is>
      </c>
      <c r="L229" s="0" t="inlineStr">
        <is>
          <t>2026-08-04</t>
        </is>
      </c>
      <c r="M229" s="0" t="inlineStr">
        <is>
          <t>2026-08-07</t>
        </is>
      </c>
      <c r="N229" s="0" t="n">
        <v>3</v>
      </c>
      <c r="O229" s="0">
        <f>任务计划表!K229</f>
        <v/>
      </c>
      <c r="P229" s="0">
        <f>IF(IF(任务计划表!L229="/",人员资源情况!$A$2,L229)&gt;M229,M229,(IF(任务计划表!L229="/",人员资源情况!$A$2,L229)))</f>
        <v/>
      </c>
      <c r="Q229" s="0">
        <f>IF(M229="/",人员资源情况!$B$2,任务计划表!M229)</f>
        <v/>
      </c>
      <c r="R229" s="0">
        <f>任务计划表!N229</f>
        <v/>
      </c>
      <c r="S229" s="0">
        <f>IF(O229=人员资源情况!C$2,1,0)</f>
        <v/>
      </c>
      <c r="T229" s="0">
        <f>IF(P229&gt;=人员资源情况!A$2,1,0)</f>
        <v/>
      </c>
      <c r="U229" s="0">
        <f>IF(Q229&lt;=人员资源情况!B$2,1,0)</f>
        <v/>
      </c>
      <c r="V229" s="0">
        <f>IF(T229*U229,Q229-P229,IF(T229&gt;U229,人员资源情况!B$2-P229,IF(T229&lt;U229,任务计划表!Q229-人员资源情况!A$2,0)))*R229*S229</f>
        <v/>
      </c>
      <c r="W229" s="0">
        <f>IF(V229&lt;0,0,V229)</f>
        <v/>
      </c>
    </row>
    <row r="230">
      <c r="E230" s="0" t="inlineStr">
        <is>
          <t>巴西经营中心</t>
        </is>
      </c>
      <c r="F230" s="0" t="inlineStr">
        <is>
          <t>DLMS系统联调</t>
        </is>
      </c>
      <c r="G230" s="0" t="inlineStr">
        <is>
          <t>1900-01-01</t>
        </is>
      </c>
      <c r="H230" s="0" t="inlineStr">
        <is>
          <t>2026-08-14</t>
        </is>
      </c>
      <c r="I230" s="0" t="inlineStr">
        <is>
          <t>TR4</t>
        </is>
      </c>
      <c r="J230" s="0" t="inlineStr">
        <is>
          <t>Pull-系统与水表传输解密过</t>
        </is>
      </c>
      <c r="K230" s="0" t="inlineStr">
        <is>
          <t>@张国庆(80019159)</t>
        </is>
      </c>
      <c r="L230" s="0" t="inlineStr">
        <is>
          <t>2026-08-04</t>
        </is>
      </c>
      <c r="M230" s="0" t="inlineStr">
        <is>
          <t>2026-08-07</t>
        </is>
      </c>
      <c r="N230" s="0" t="n">
        <v>3</v>
      </c>
      <c r="O230" s="0">
        <f>任务计划表!K230</f>
        <v/>
      </c>
      <c r="P230" s="0">
        <f>IF(IF(任务计划表!L230="/",人员资源情况!$A$2,L230)&gt;M230,M230,(IF(任务计划表!L230="/",人员资源情况!$A$2,L230)))</f>
        <v/>
      </c>
      <c r="Q230" s="0">
        <f>IF(M230="/",人员资源情况!$B$2,任务计划表!M230)</f>
        <v/>
      </c>
      <c r="R230" s="0">
        <f>任务计划表!N230</f>
        <v/>
      </c>
      <c r="S230" s="0">
        <f>IF(O230=人员资源情况!C$2,1,0)</f>
        <v/>
      </c>
      <c r="T230" s="0">
        <f>IF(P230&gt;=人员资源情况!A$2,1,0)</f>
        <v/>
      </c>
      <c r="U230" s="0">
        <f>IF(Q230&lt;=人员资源情况!B$2,1,0)</f>
        <v/>
      </c>
      <c r="V230" s="0">
        <f>IF(T230*U230,Q230-P230,IF(T230&gt;U230,人员资源情况!B$2-P230,IF(T230&lt;U230,任务计划表!Q230-人员资源情况!A$2,0)))*R230*S230</f>
        <v/>
      </c>
      <c r="W230" s="0">
        <f>IF(V230&lt;0,0,V230)</f>
        <v/>
      </c>
    </row>
    <row r="231">
      <c r="E231" s="0" t="inlineStr">
        <is>
          <t>巴西经营中心</t>
        </is>
      </c>
      <c r="F231" s="0" t="inlineStr">
        <is>
          <t>DLMS系统联调</t>
        </is>
      </c>
      <c r="G231" s="0" t="inlineStr">
        <is>
          <t>1900-01-01</t>
        </is>
      </c>
      <c r="H231" s="0" t="inlineStr">
        <is>
          <t>2026-08-14</t>
        </is>
      </c>
      <c r="I231" s="0" t="inlineStr">
        <is>
          <t>TR4</t>
        </is>
      </c>
      <c r="J231" s="0" t="inlineStr">
        <is>
          <t>pull-class 64/15-初步分析</t>
        </is>
      </c>
      <c r="K231" s="0" t="inlineStr">
        <is>
          <t>@张国庆(80019159)</t>
        </is>
      </c>
      <c r="L231" s="0" t="inlineStr">
        <is>
          <t>2026-08-07</t>
        </is>
      </c>
      <c r="M231" s="0" t="inlineStr">
        <is>
          <t>2026-08-10</t>
        </is>
      </c>
      <c r="N231" s="0" t="n">
        <v>4</v>
      </c>
      <c r="O231" s="0">
        <f>任务计划表!K231</f>
        <v/>
      </c>
      <c r="P231" s="0">
        <f>IF(IF(任务计划表!L231="/",人员资源情况!$A$2,L231)&gt;M231,M231,(IF(任务计划表!L231="/",人员资源情况!$A$2,L231)))</f>
        <v/>
      </c>
      <c r="Q231" s="0">
        <f>IF(M231="/",人员资源情况!$B$2,任务计划表!M231)</f>
        <v/>
      </c>
      <c r="R231" s="0">
        <f>任务计划表!N231</f>
        <v/>
      </c>
      <c r="S231" s="0">
        <f>IF(O231=人员资源情况!C$2,1,0)</f>
        <v/>
      </c>
      <c r="T231" s="0">
        <f>IF(P231&gt;=人员资源情况!A$2,1,0)</f>
        <v/>
      </c>
      <c r="U231" s="0">
        <f>IF(Q231&lt;=人员资源情况!B$2,1,0)</f>
        <v/>
      </c>
      <c r="V231" s="0">
        <f>IF(T231*U231,Q231-P231,IF(T231&gt;U231,人员资源情况!B$2-P231,IF(T231&lt;U231,任务计划表!Q231-人员资源情况!A$2,0)))*R231*S231</f>
        <v/>
      </c>
      <c r="W231" s="0">
        <f>IF(V231&lt;0,0,V231)</f>
        <v/>
      </c>
    </row>
    <row r="232">
      <c r="E232" s="0" t="inlineStr">
        <is>
          <t>巴西经营中心</t>
        </is>
      </c>
      <c r="F232" s="0" t="inlineStr">
        <is>
          <t>DLMS系统联调</t>
        </is>
      </c>
      <c r="G232" s="0" t="inlineStr">
        <is>
          <t>1900-01-01</t>
        </is>
      </c>
      <c r="H232" s="0" t="inlineStr">
        <is>
          <t>2026-08-14</t>
        </is>
      </c>
      <c r="I232" s="0" t="inlineStr">
        <is>
          <t>TR4</t>
        </is>
      </c>
      <c r="J232" s="0" t="inlineStr">
        <is>
          <t>pull-class 64/15-代码修复</t>
        </is>
      </c>
      <c r="K232" s="0" t="inlineStr">
        <is>
          <t>@袁琮欣(80015786)(袁琮欣)</t>
        </is>
      </c>
      <c r="L232" s="0" t="inlineStr">
        <is>
          <t>2026-08-07</t>
        </is>
      </c>
      <c r="M232" s="0" t="inlineStr">
        <is>
          <t>2026-08-10</t>
        </is>
      </c>
      <c r="N232" s="0" t="n">
        <v>4</v>
      </c>
      <c r="O232" s="0">
        <f>任务计划表!K232</f>
        <v/>
      </c>
      <c r="P232" s="0">
        <f>IF(IF(任务计划表!L232="/",人员资源情况!$A$2,L232)&gt;M232,M232,(IF(任务计划表!L232="/",人员资源情况!$A$2,L232)))</f>
        <v/>
      </c>
      <c r="Q232" s="0">
        <f>IF(M232="/",人员资源情况!$B$2,任务计划表!M232)</f>
        <v/>
      </c>
      <c r="R232" s="0">
        <f>任务计划表!N232</f>
        <v/>
      </c>
      <c r="S232" s="0">
        <f>IF(O232=人员资源情况!C$2,1,0)</f>
        <v/>
      </c>
      <c r="T232" s="0">
        <f>IF(P232&gt;=人员资源情况!A$2,1,0)</f>
        <v/>
      </c>
      <c r="U232" s="0">
        <f>IF(Q232&lt;=人员资源情况!B$2,1,0)</f>
        <v/>
      </c>
      <c r="V232" s="0">
        <f>IF(T232*U232,Q232-P232,IF(T232&gt;U232,人员资源情况!B$2-P232,IF(T232&lt;U232,任务计划表!Q232-人员资源情况!A$2,0)))*R232*S232</f>
        <v/>
      </c>
      <c r="W232" s="0">
        <f>IF(V232&lt;0,0,V232)</f>
        <v/>
      </c>
    </row>
    <row r="233">
      <c r="E233" s="0" t="inlineStr">
        <is>
          <t>巴西经营中心</t>
        </is>
      </c>
      <c r="F233" s="0" t="inlineStr">
        <is>
          <t>DLMS系统联调</t>
        </is>
      </c>
      <c r="G233" s="0" t="inlineStr">
        <is>
          <t>1900-01-01</t>
        </is>
      </c>
      <c r="H233" s="0" t="inlineStr">
        <is>
          <t>2026-08-14</t>
        </is>
      </c>
      <c r="I233" s="0" t="inlineStr">
        <is>
          <t>TR4</t>
        </is>
      </c>
      <c r="J233" s="0" t="inlineStr">
        <is>
          <t>pull-class 22/9/40-初步分析</t>
        </is>
      </c>
      <c r="K233" s="0" t="inlineStr">
        <is>
          <t>@张国庆(80019159)</t>
        </is>
      </c>
      <c r="L233" s="0" t="inlineStr">
        <is>
          <t>2026-08-10</t>
        </is>
      </c>
      <c r="M233" s="0" t="inlineStr">
        <is>
          <t>2026-08-11</t>
        </is>
      </c>
      <c r="N233" s="0" t="n">
        <v>4</v>
      </c>
      <c r="O233" s="0">
        <f>任务计划表!K233</f>
        <v/>
      </c>
      <c r="P233" s="0">
        <f>IF(IF(任务计划表!L233="/",人员资源情况!$A$2,L233)&gt;M233,M233,(IF(任务计划表!L233="/",人员资源情况!$A$2,L233)))</f>
        <v/>
      </c>
      <c r="Q233" s="0">
        <f>IF(M233="/",人员资源情况!$B$2,任务计划表!M233)</f>
        <v/>
      </c>
      <c r="R233" s="0">
        <f>任务计划表!N233</f>
        <v/>
      </c>
      <c r="S233" s="0">
        <f>IF(O233=人员资源情况!C$2,1,0)</f>
        <v/>
      </c>
      <c r="T233" s="0">
        <f>IF(P233&gt;=人员资源情况!A$2,1,0)</f>
        <v/>
      </c>
      <c r="U233" s="0">
        <f>IF(Q233&lt;=人员资源情况!B$2,1,0)</f>
        <v/>
      </c>
      <c r="V233" s="0">
        <f>IF(T233*U233,Q233-P233,IF(T233&gt;U233,人员资源情况!B$2-P233,IF(T233&lt;U233,任务计划表!Q233-人员资源情况!A$2,0)))*R233*S233</f>
        <v/>
      </c>
      <c r="W233" s="0">
        <f>IF(V233&lt;0,0,V233)</f>
        <v/>
      </c>
    </row>
    <row r="234">
      <c r="E234" s="0" t="inlineStr">
        <is>
          <t>巴西经营中心</t>
        </is>
      </c>
      <c r="F234" s="0" t="inlineStr">
        <is>
          <t>DLMS系统联调</t>
        </is>
      </c>
      <c r="G234" s="0" t="inlineStr">
        <is>
          <t>1900-01-01</t>
        </is>
      </c>
      <c r="H234" s="0" t="inlineStr">
        <is>
          <t>2026-08-14</t>
        </is>
      </c>
      <c r="I234" s="0" t="inlineStr">
        <is>
          <t>TR4</t>
        </is>
      </c>
      <c r="J234" s="0" t="inlineStr">
        <is>
          <t>pull-class 22/9/40-代码修复</t>
        </is>
      </c>
      <c r="K234" s="0" t="inlineStr">
        <is>
          <t>@袁琮欣(80015786)(袁琮欣)</t>
        </is>
      </c>
      <c r="L234" s="0" t="inlineStr">
        <is>
          <t>2026-08-10</t>
        </is>
      </c>
      <c r="M234" s="0" t="inlineStr">
        <is>
          <t>2026-08-11</t>
        </is>
      </c>
      <c r="N234" s="0" t="n">
        <v>4</v>
      </c>
      <c r="O234" s="0">
        <f>任务计划表!K234</f>
        <v/>
      </c>
      <c r="P234" s="0">
        <f>IF(IF(任务计划表!L234="/",人员资源情况!$A$2,L234)&gt;M234,M234,(IF(任务计划表!L234="/",人员资源情况!$A$2,L234)))</f>
        <v/>
      </c>
      <c r="Q234" s="0">
        <f>IF(M234="/",人员资源情况!$B$2,任务计划表!M234)</f>
        <v/>
      </c>
      <c r="R234" s="0">
        <f>任务计划表!N234</f>
        <v/>
      </c>
      <c r="S234" s="0">
        <f>IF(O234=人员资源情况!C$2,1,0)</f>
        <v/>
      </c>
      <c r="T234" s="0">
        <f>IF(P234&gt;=人员资源情况!A$2,1,0)</f>
        <v/>
      </c>
      <c r="U234" s="0">
        <f>IF(Q234&lt;=人员资源情况!B$2,1,0)</f>
        <v/>
      </c>
      <c r="V234" s="0">
        <f>IF(T234*U234,Q234-P234,IF(T234&gt;U234,人员资源情况!B$2-P234,IF(T234&lt;U234,任务计划表!Q234-人员资源情况!A$2,0)))*R234*S234</f>
        <v/>
      </c>
      <c r="W234" s="0">
        <f>IF(V234&lt;0,0,V234)</f>
        <v/>
      </c>
    </row>
    <row r="235">
      <c r="E235" s="0" t="inlineStr">
        <is>
          <t>巴西经营中心</t>
        </is>
      </c>
      <c r="F235" s="0" t="inlineStr">
        <is>
          <t>DLMS系统联调</t>
        </is>
      </c>
      <c r="G235" s="0" t="inlineStr">
        <is>
          <t>1900-01-01</t>
        </is>
      </c>
      <c r="H235" s="0" t="inlineStr">
        <is>
          <t>2026-08-14</t>
        </is>
      </c>
      <c r="I235" s="0" t="inlineStr">
        <is>
          <t>TR4</t>
        </is>
      </c>
      <c r="J235" s="0" t="inlineStr">
        <is>
          <t>pull-class profile-初步分析</t>
        </is>
      </c>
      <c r="K235" s="0" t="inlineStr">
        <is>
          <t>@张国庆(80019159)</t>
        </is>
      </c>
      <c r="L235" s="0" t="inlineStr">
        <is>
          <t>2026-08-11</t>
        </is>
      </c>
      <c r="M235" s="0" t="inlineStr">
        <is>
          <t>2026-08-12</t>
        </is>
      </c>
      <c r="N235" s="0" t="n">
        <v>1</v>
      </c>
      <c r="O235" s="0">
        <f>任务计划表!K235</f>
        <v/>
      </c>
      <c r="P235" s="0">
        <f>IF(IF(任务计划表!L235="/",人员资源情况!$A$2,L235)&gt;M235,M235,(IF(任务计划表!L235="/",人员资源情况!$A$2,L235)))</f>
        <v/>
      </c>
      <c r="Q235" s="0">
        <f>IF(M235="/",人员资源情况!$B$2,任务计划表!M235)</f>
        <v/>
      </c>
      <c r="R235" s="0">
        <f>任务计划表!N235</f>
        <v/>
      </c>
      <c r="S235" s="0">
        <f>IF(O235=人员资源情况!C$2,1,0)</f>
        <v/>
      </c>
      <c r="T235" s="0">
        <f>IF(P235&gt;=人员资源情况!A$2,1,0)</f>
        <v/>
      </c>
      <c r="U235" s="0">
        <f>IF(Q235&lt;=人员资源情况!B$2,1,0)</f>
        <v/>
      </c>
      <c r="V235" s="0">
        <f>IF(T235*U235,Q235-P235,IF(T235&gt;U235,人员资源情况!B$2-P235,IF(T235&lt;U235,任务计划表!Q235-人员资源情况!A$2,0)))*R235*S235</f>
        <v/>
      </c>
      <c r="W235" s="0">
        <f>IF(V235&lt;0,0,V235)</f>
        <v/>
      </c>
    </row>
    <row r="236">
      <c r="E236" s="0" t="inlineStr">
        <is>
          <t>巴西经营中心</t>
        </is>
      </c>
      <c r="F236" s="0" t="inlineStr">
        <is>
          <t>DLMS系统联调</t>
        </is>
      </c>
      <c r="G236" s="0" t="inlineStr">
        <is>
          <t>1900-01-01</t>
        </is>
      </c>
      <c r="H236" s="0" t="inlineStr">
        <is>
          <t>2026-08-14</t>
        </is>
      </c>
      <c r="I236" s="0" t="inlineStr">
        <is>
          <t>TR4</t>
        </is>
      </c>
      <c r="J236" s="0" t="inlineStr">
        <is>
          <t>pull-class profile-代码修复</t>
        </is>
      </c>
      <c r="K236" s="0" t="inlineStr">
        <is>
          <t>@袁琮欣(80015786)(袁琮欣)</t>
        </is>
      </c>
      <c r="L236" s="0" t="inlineStr">
        <is>
          <t>2026-08-11</t>
        </is>
      </c>
      <c r="M236" s="0" t="inlineStr">
        <is>
          <t>2026-08-12</t>
        </is>
      </c>
      <c r="N236" s="0" t="n">
        <v>1</v>
      </c>
      <c r="O236" s="0">
        <f>任务计划表!K236</f>
        <v/>
      </c>
      <c r="P236" s="0">
        <f>IF(IF(任务计划表!L236="/",人员资源情况!$A$2,L236)&gt;M236,M236,(IF(任务计划表!L236="/",人员资源情况!$A$2,L236)))</f>
        <v/>
      </c>
      <c r="Q236" s="0">
        <f>IF(M236="/",人员资源情况!$B$2,任务计划表!M236)</f>
        <v/>
      </c>
      <c r="R236" s="0">
        <f>任务计划表!N236</f>
        <v/>
      </c>
      <c r="S236" s="0">
        <f>IF(O236=人员资源情况!C$2,1,0)</f>
        <v/>
      </c>
      <c r="T236" s="0">
        <f>IF(P236&gt;=人员资源情况!A$2,1,0)</f>
        <v/>
      </c>
      <c r="U236" s="0">
        <f>IF(Q236&lt;=人员资源情况!B$2,1,0)</f>
        <v/>
      </c>
      <c r="V236" s="0">
        <f>IF(T236*U236,Q236-P236,IF(T236&gt;U236,人员资源情况!B$2-P236,IF(T236&lt;U236,任务计划表!Q236-人员资源情况!A$2,0)))*R236*S236</f>
        <v/>
      </c>
      <c r="W236" s="0">
        <f>IF(V236&lt;0,0,V236)</f>
        <v/>
      </c>
    </row>
    <row r="237">
      <c r="E237" s="0" t="inlineStr">
        <is>
          <t>巴西经营中心</t>
        </is>
      </c>
      <c r="F237" s="0" t="inlineStr">
        <is>
          <t>DLMS系统联调</t>
        </is>
      </c>
      <c r="G237" s="0" t="inlineStr">
        <is>
          <t>1900-01-01</t>
        </is>
      </c>
      <c r="H237" s="0" t="inlineStr">
        <is>
          <t>2026-08-14</t>
        </is>
      </c>
      <c r="I237" s="0" t="inlineStr">
        <is>
          <t>TR4</t>
        </is>
      </c>
      <c r="J237" s="0" t="inlineStr">
        <is>
          <t>pull-class event-初步分析</t>
        </is>
      </c>
      <c r="K237" s="0" t="inlineStr">
        <is>
          <t>@张国庆(80019159)</t>
        </is>
      </c>
      <c r="L237" s="0" t="inlineStr">
        <is>
          <t>2026-08-12</t>
        </is>
      </c>
      <c r="M237" s="0" t="inlineStr">
        <is>
          <t>2026-08-14</t>
        </is>
      </c>
      <c r="N237" s="0" t="n">
        <v>5</v>
      </c>
      <c r="O237" s="0">
        <f>任务计划表!K237</f>
        <v/>
      </c>
      <c r="P237" s="0">
        <f>IF(IF(任务计划表!L237="/",人员资源情况!$A$2,L237)&gt;M237,M237,(IF(任务计划表!L237="/",人员资源情况!$A$2,L237)))</f>
        <v/>
      </c>
      <c r="Q237" s="0">
        <f>IF(M237="/",人员资源情况!$B$2,任务计划表!M237)</f>
        <v/>
      </c>
      <c r="R237" s="0">
        <f>任务计划表!N237</f>
        <v/>
      </c>
      <c r="S237" s="0">
        <f>IF(O237=人员资源情况!C$2,1,0)</f>
        <v/>
      </c>
      <c r="T237" s="0">
        <f>IF(P237&gt;=人员资源情况!A$2,1,0)</f>
        <v/>
      </c>
      <c r="U237" s="0">
        <f>IF(Q237&lt;=人员资源情况!B$2,1,0)</f>
        <v/>
      </c>
      <c r="V237" s="0">
        <f>IF(T237*U237,Q237-P237,IF(T237&gt;U237,人员资源情况!B$2-P237,IF(T237&lt;U237,任务计划表!Q237-人员资源情况!A$2,0)))*R237*S237</f>
        <v/>
      </c>
      <c r="W237" s="0">
        <f>IF(V237&lt;0,0,V237)</f>
        <v/>
      </c>
    </row>
    <row r="238">
      <c r="E238" s="0" t="inlineStr">
        <is>
          <t>巴西经营中心</t>
        </is>
      </c>
      <c r="F238" s="0" t="inlineStr">
        <is>
          <t>DLMS系统联调</t>
        </is>
      </c>
      <c r="G238" s="0" t="inlineStr">
        <is>
          <t>1900-01-01</t>
        </is>
      </c>
      <c r="H238" s="0" t="inlineStr">
        <is>
          <t>2026-08-14</t>
        </is>
      </c>
      <c r="I238" s="0" t="inlineStr">
        <is>
          <t>TR4</t>
        </is>
      </c>
      <c r="J238" s="0" t="inlineStr">
        <is>
          <t>pull-class event-代码修复</t>
        </is>
      </c>
      <c r="K238" s="0" t="inlineStr">
        <is>
          <t>@李昊龙(80016809)</t>
        </is>
      </c>
      <c r="L238" s="0" t="inlineStr">
        <is>
          <t>2026-08-12</t>
        </is>
      </c>
      <c r="M238" s="0" t="inlineStr">
        <is>
          <t>2026-08-14</t>
        </is>
      </c>
      <c r="N238" s="0" t="n">
        <v>3</v>
      </c>
      <c r="O238" s="0">
        <f>任务计划表!K238</f>
        <v/>
      </c>
      <c r="P238" s="0">
        <f>IF(IF(任务计划表!L238="/",人员资源情况!$A$2,L238)&gt;M238,M238,(IF(任务计划表!L238="/",人员资源情况!$A$2,L238)))</f>
        <v/>
      </c>
      <c r="Q238" s="0">
        <f>IF(M238="/",人员资源情况!$B$2,任务计划表!M238)</f>
        <v/>
      </c>
      <c r="R238" s="0">
        <f>任务计划表!N238</f>
        <v/>
      </c>
      <c r="S238" s="0">
        <f>IF(O238=人员资源情况!C$2,1,0)</f>
        <v/>
      </c>
      <c r="T238" s="0">
        <f>IF(P238&gt;=人员资源情况!A$2,1,0)</f>
        <v/>
      </c>
      <c r="U238" s="0">
        <f>IF(Q238&lt;=人员资源情况!B$2,1,0)</f>
        <v/>
      </c>
      <c r="V238" s="0">
        <f>IF(T238*U238,Q238-P238,IF(T238&gt;U238,人员资源情况!B$2-P238,IF(T238&lt;U238,任务计划表!Q238-人员资源情况!A$2,0)))*R238*S238</f>
        <v/>
      </c>
      <c r="W238" s="0">
        <f>IF(V238&lt;0,0,V238)</f>
        <v/>
      </c>
    </row>
    <row r="239">
      <c r="E239" s="0" t="inlineStr">
        <is>
          <t>巴西经营中心</t>
        </is>
      </c>
      <c r="F239" s="0" t="inlineStr">
        <is>
          <t>DLMS系统联调</t>
        </is>
      </c>
      <c r="G239" s="0" t="inlineStr">
        <is>
          <t>1900-01-01</t>
        </is>
      </c>
      <c r="H239" s="0" t="inlineStr">
        <is>
          <t>2026-08-14</t>
        </is>
      </c>
      <c r="I239" s="0" t="inlineStr">
        <is>
          <t>TR4</t>
        </is>
      </c>
      <c r="J239" s="0" t="inlineStr">
        <is>
          <t>Pull-alarm-register/Filter/</t>
        </is>
      </c>
      <c r="K239" s="0" t="inlineStr">
        <is>
          <t>@张国庆(80019159)</t>
        </is>
      </c>
      <c r="L239" s="0" t="inlineStr">
        <is>
          <t>1900-01-01</t>
        </is>
      </c>
      <c r="M239" s="0" t="inlineStr">
        <is>
          <t>2026-08-13</t>
        </is>
      </c>
      <c r="N239" s="0" t="n">
        <v>2</v>
      </c>
      <c r="O239" s="0">
        <f>任务计划表!K239</f>
        <v/>
      </c>
      <c r="P239" s="0">
        <f>IF(IF(任务计划表!L239="/",人员资源情况!$A$2,L239)&gt;M239,M239,(IF(任务计划表!L239="/",人员资源情况!$A$2,L239)))</f>
        <v/>
      </c>
      <c r="Q239" s="0">
        <f>IF(M239="/",人员资源情况!$B$2,任务计划表!M239)</f>
        <v/>
      </c>
      <c r="R239" s="0">
        <f>任务计划表!N239</f>
        <v/>
      </c>
      <c r="S239" s="0">
        <f>IF(O239=人员资源情况!C$2,1,0)</f>
        <v/>
      </c>
      <c r="T239" s="0">
        <f>IF(P239&gt;=人员资源情况!A$2,1,0)</f>
        <v/>
      </c>
      <c r="U239" s="0">
        <f>IF(Q239&lt;=人员资源情况!B$2,1,0)</f>
        <v/>
      </c>
      <c r="V239" s="0">
        <f>IF(T239*U239,Q239-P239,IF(T239&gt;U239,人员资源情况!B$2-P239,IF(T239&lt;U239,任务计划表!Q239-人员资源情况!A$2,0)))*R239*S239</f>
        <v/>
      </c>
      <c r="W239" s="0">
        <f>IF(V239&lt;0,0,V239)</f>
        <v/>
      </c>
    </row>
    <row r="240">
      <c r="E240" s="0" t="inlineStr">
        <is>
          <t>巴西经营中心</t>
        </is>
      </c>
      <c r="F240" s="0" t="inlineStr">
        <is>
          <t>DLMS系统联调</t>
        </is>
      </c>
      <c r="G240" s="0" t="inlineStr">
        <is>
          <t>1900-01-01</t>
        </is>
      </c>
      <c r="H240" s="0" t="inlineStr">
        <is>
          <t>2026-08-14</t>
        </is>
      </c>
      <c r="I240" s="0" t="inlineStr">
        <is>
          <t>TR4</t>
        </is>
      </c>
      <c r="J240" s="0" t="inlineStr">
        <is>
          <t>Pull-alarm-register/Filter/</t>
        </is>
      </c>
      <c r="K240" s="0" t="inlineStr">
        <is>
          <t>@李昊龙(80016809)</t>
        </is>
      </c>
      <c r="L240" s="0" t="inlineStr">
        <is>
          <t>1900-01-01</t>
        </is>
      </c>
      <c r="M240" s="0" t="inlineStr">
        <is>
          <t>2026-08-13</t>
        </is>
      </c>
      <c r="N240" s="0" t="n">
        <v>2</v>
      </c>
      <c r="O240" s="0">
        <f>任务计划表!K240</f>
        <v/>
      </c>
      <c r="P240" s="0">
        <f>IF(IF(任务计划表!L240="/",人员资源情况!$A$2,L240)&gt;M240,M240,(IF(任务计划表!L240="/",人员资源情况!$A$2,L240)))</f>
        <v/>
      </c>
      <c r="Q240" s="0">
        <f>IF(M240="/",人员资源情况!$B$2,任务计划表!M240)</f>
        <v/>
      </c>
      <c r="R240" s="0">
        <f>任务计划表!N240</f>
        <v/>
      </c>
      <c r="S240" s="0">
        <f>IF(O240=人员资源情况!C$2,1,0)</f>
        <v/>
      </c>
      <c r="T240" s="0">
        <f>IF(P240&gt;=人员资源情况!A$2,1,0)</f>
        <v/>
      </c>
      <c r="U240" s="0">
        <f>IF(Q240&lt;=人员资源情况!B$2,1,0)</f>
        <v/>
      </c>
      <c r="V240" s="0">
        <f>IF(T240*U240,Q240-P240,IF(T240&gt;U240,人员资源情况!B$2-P240,IF(T240&lt;U240,任务计划表!Q240-人员资源情况!A$2,0)))*R240*S240</f>
        <v/>
      </c>
      <c r="W240" s="0">
        <f>IF(V240&lt;0,0,V240)</f>
        <v/>
      </c>
    </row>
    <row r="241">
      <c r="E241" s="0" t="inlineStr">
        <is>
          <t>巴西经营中心</t>
        </is>
      </c>
      <c r="F241" s="0" t="inlineStr">
        <is>
          <t>DLMS系统联调</t>
        </is>
      </c>
      <c r="G241" s="0" t="inlineStr">
        <is>
          <t>1900-01-01</t>
        </is>
      </c>
      <c r="H241" s="0" t="inlineStr">
        <is>
          <t>2026-08-14</t>
        </is>
      </c>
      <c r="I241" s="0" t="inlineStr">
        <is>
          <t>TR4</t>
        </is>
      </c>
      <c r="J241" s="0" t="inlineStr">
        <is>
          <t>push alarm -初步分析</t>
        </is>
      </c>
      <c r="K241" s="0" t="inlineStr">
        <is>
          <t>@李昊龙(80016809)</t>
        </is>
      </c>
      <c r="L241" s="0" t="inlineStr">
        <is>
          <t>2026-08-12</t>
        </is>
      </c>
      <c r="M241" s="0" t="inlineStr">
        <is>
          <t>2026-08-13</t>
        </is>
      </c>
      <c r="N241" s="0" t="n">
        <v>2</v>
      </c>
      <c r="O241" s="0">
        <f>任务计划表!K241</f>
        <v/>
      </c>
      <c r="P241" s="0">
        <f>IF(IF(任务计划表!L241="/",人员资源情况!$A$2,L241)&gt;M241,M241,(IF(任务计划表!L241="/",人员资源情况!$A$2,L241)))</f>
        <v/>
      </c>
      <c r="Q241" s="0">
        <f>IF(M241="/",人员资源情况!$B$2,任务计划表!M241)</f>
        <v/>
      </c>
      <c r="R241" s="0">
        <f>任务计划表!N241</f>
        <v/>
      </c>
      <c r="S241" s="0">
        <f>IF(O241=人员资源情况!C$2,1,0)</f>
        <v/>
      </c>
      <c r="T241" s="0">
        <f>IF(P241&gt;=人员资源情况!A$2,1,0)</f>
        <v/>
      </c>
      <c r="U241" s="0">
        <f>IF(Q241&lt;=人员资源情况!B$2,1,0)</f>
        <v/>
      </c>
      <c r="V241" s="0">
        <f>IF(T241*U241,Q241-P241,IF(T241&gt;U241,人员资源情况!B$2-P241,IF(T241&lt;U241,任务计划表!Q241-人员资源情况!A$2,0)))*R241*S241</f>
        <v/>
      </c>
      <c r="W241" s="0">
        <f>IF(V241&lt;0,0,V241)</f>
        <v/>
      </c>
    </row>
    <row r="242">
      <c r="E242" s="0" t="inlineStr">
        <is>
          <t>巴西经营中心</t>
        </is>
      </c>
      <c r="F242" s="0" t="inlineStr">
        <is>
          <t>DLMS系统联调</t>
        </is>
      </c>
      <c r="G242" s="0" t="inlineStr">
        <is>
          <t>1900-01-01</t>
        </is>
      </c>
      <c r="H242" s="0" t="inlineStr">
        <is>
          <t>2026-08-14</t>
        </is>
      </c>
      <c r="I242" s="0" t="inlineStr">
        <is>
          <t>TR4</t>
        </is>
      </c>
      <c r="J242" s="0" t="inlineStr">
        <is>
          <t>push alarm -代码修复</t>
        </is>
      </c>
      <c r="K242" s="0" t="inlineStr">
        <is>
          <t>@李昊龙(80016809)</t>
        </is>
      </c>
      <c r="L242" s="0" t="inlineStr">
        <is>
          <t>2026-08-12</t>
        </is>
      </c>
      <c r="M242" s="0" t="inlineStr">
        <is>
          <t>2026-08-13</t>
        </is>
      </c>
      <c r="N242" s="0" t="n">
        <v>2</v>
      </c>
      <c r="O242" s="0">
        <f>任务计划表!K242</f>
        <v/>
      </c>
      <c r="P242" s="0">
        <f>IF(IF(任务计划表!L242="/",人员资源情况!$A$2,L242)&gt;M242,M242,(IF(任务计划表!L242="/",人员资源情况!$A$2,L242)))</f>
        <v/>
      </c>
      <c r="Q242" s="0">
        <f>IF(M242="/",人员资源情况!$B$2,任务计划表!M242)</f>
        <v/>
      </c>
      <c r="R242" s="0">
        <f>任务计划表!N242</f>
        <v/>
      </c>
      <c r="S242" s="0">
        <f>IF(O242=人员资源情况!C$2,1,0)</f>
        <v/>
      </c>
      <c r="T242" s="0">
        <f>IF(P242&gt;=人员资源情况!A$2,1,0)</f>
        <v/>
      </c>
      <c r="U242" s="0">
        <f>IF(Q242&lt;=人员资源情况!B$2,1,0)</f>
        <v/>
      </c>
      <c r="V242" s="0">
        <f>IF(T242*U242,Q242-P242,IF(T242&gt;U242,人员资源情况!B$2-P242,IF(T242&lt;U242,任务计划表!Q242-人员资源情况!A$2,0)))*R242*S242</f>
        <v/>
      </c>
      <c r="W242" s="0">
        <f>IF(V242&lt;0,0,V242)</f>
        <v/>
      </c>
    </row>
    <row r="243">
      <c r="E243" s="0" t="inlineStr">
        <is>
          <t>巴西经营中心</t>
        </is>
      </c>
      <c r="F243" s="0" t="inlineStr">
        <is>
          <t>DLMS系统联调</t>
        </is>
      </c>
      <c r="G243" s="0" t="inlineStr">
        <is>
          <t>1900-01-01</t>
        </is>
      </c>
      <c r="H243" s="0" t="inlineStr">
        <is>
          <t>2026-08-14</t>
        </is>
      </c>
      <c r="I243" s="0" t="inlineStr">
        <is>
          <t>TR4</t>
        </is>
      </c>
      <c r="J243" s="0" t="inlineStr">
        <is>
          <t>pull-class1/3模组+基础信息</t>
        </is>
      </c>
      <c r="K243" s="0" t="inlineStr">
        <is>
          <t>@张国庆(80019159)</t>
        </is>
      </c>
      <c r="L243" s="0" t="inlineStr">
        <is>
          <t>2026-08-07</t>
        </is>
      </c>
      <c r="M243" s="0" t="inlineStr">
        <is>
          <t>2026-08-10</t>
        </is>
      </c>
      <c r="N243" s="0" t="n">
        <v>4</v>
      </c>
      <c r="O243" s="0">
        <f>任务计划表!K243</f>
        <v/>
      </c>
      <c r="P243" s="0">
        <f>IF(IF(任务计划表!L243="/",人员资源情况!$A$2,L243)&gt;M243,M243,(IF(任务计划表!L243="/",人员资源情况!$A$2,L243)))</f>
        <v/>
      </c>
      <c r="Q243" s="0">
        <f>IF(M243="/",人员资源情况!$B$2,任务计划表!M243)</f>
        <v/>
      </c>
      <c r="R243" s="0">
        <f>任务计划表!N243</f>
        <v/>
      </c>
      <c r="S243" s="0">
        <f>IF(O243=人员资源情况!C$2,1,0)</f>
        <v/>
      </c>
      <c r="T243" s="0">
        <f>IF(P243&gt;=人员资源情况!A$2,1,0)</f>
        <v/>
      </c>
      <c r="U243" s="0">
        <f>IF(Q243&lt;=人员资源情况!B$2,1,0)</f>
        <v/>
      </c>
      <c r="V243" s="0">
        <f>IF(T243*U243,Q243-P243,IF(T243&gt;U243,人员资源情况!B$2-P243,IF(T243&lt;U243,任务计划表!Q243-人员资源情况!A$2,0)))*R243*S243</f>
        <v/>
      </c>
      <c r="W243" s="0">
        <f>IF(V243&lt;0,0,V243)</f>
        <v/>
      </c>
    </row>
    <row r="244">
      <c r="E244" s="0" t="inlineStr">
        <is>
          <t>日常工作</t>
        </is>
      </c>
      <c r="F244" s="0" t="inlineStr">
        <is>
          <t>巴西V2.1测试</t>
        </is>
      </c>
      <c r="G244" s="0" t="inlineStr">
        <is>
          <t>1900-01-01</t>
        </is>
      </c>
      <c r="H244" s="0" t="inlineStr">
        <is>
          <t>2100-01-01</t>
        </is>
      </c>
      <c r="I244" s="0" t="inlineStr">
        <is>
          <t>V2.1修改项测试</t>
        </is>
      </c>
      <c r="J244" s="0" t="inlineStr">
        <is>
          <t>测试工程师</t>
        </is>
      </c>
      <c r="K244" s="0" t="inlineStr">
        <is>
          <t xml:space="preserve"> @曾颂豪</t>
        </is>
      </c>
      <c r="L244" s="0" t="inlineStr">
        <is>
          <t>2026-08-03</t>
        </is>
      </c>
      <c r="M244" s="0" t="inlineStr">
        <is>
          <t>2026-08-05</t>
        </is>
      </c>
      <c r="N244" s="0" t="n">
        <v>6</v>
      </c>
      <c r="O244" s="0">
        <f>任务计划表!K244</f>
        <v/>
      </c>
      <c r="P244" s="0">
        <f>IF(IF(任务计划表!L244="/",人员资源情况!$A$2,L244)&gt;M244,M244,(IF(任务计划表!L244="/",人员资源情况!$A$2,L244)))</f>
        <v/>
      </c>
      <c r="Q244" s="0">
        <f>IF(M244="/",人员资源情况!$B$2,任务计划表!M244)</f>
        <v/>
      </c>
      <c r="R244" s="0">
        <f>任务计划表!N244</f>
        <v/>
      </c>
      <c r="S244" s="0">
        <f>IF(O244=人员资源情况!C$2,1,0)</f>
        <v/>
      </c>
      <c r="T244" s="0">
        <f>IF(P244&gt;=人员资源情况!A$2,1,0)</f>
        <v/>
      </c>
      <c r="U244" s="0">
        <f>IF(Q244&lt;=人员资源情况!B$2,1,0)</f>
        <v/>
      </c>
      <c r="V244" s="0">
        <f>IF(T244*U244,Q244-P244,IF(T244&gt;U244,人员资源情况!B$2-P244,IF(T244&lt;U244,任务计划表!Q244-人员资源情况!A$2,0)))*R244*S244</f>
        <v/>
      </c>
      <c r="W244" s="0">
        <f>IF(V244&lt;0,0,V244)</f>
        <v/>
      </c>
    </row>
    <row r="245">
      <c r="B245" s="0" t="inlineStr">
        <is>
          <t>已删除</t>
        </is>
      </c>
      <c r="E245" s="0" t="inlineStr">
        <is>
          <t>测试看板</t>
        </is>
      </c>
      <c r="F245" s="0" t="inlineStr">
        <is>
          <t>TEST WEB</t>
        </is>
      </c>
      <c r="G245" s="0" t="inlineStr">
        <is>
          <t>1900-01-01</t>
        </is>
      </c>
      <c r="H245" s="0" t="inlineStr">
        <is>
          <t>2100-01-01</t>
        </is>
      </c>
      <c r="I245" s="0" t="inlineStr">
        <is>
          <t>新增</t>
        </is>
      </c>
      <c r="J245" s="0" t="inlineStr">
        <is>
          <t>项目经理</t>
        </is>
      </c>
      <c r="K245" s="0" t="inlineStr">
        <is>
          <t>@项家祺(80004213)(项家祺)</t>
        </is>
      </c>
      <c r="L245" s="0" t="inlineStr">
        <is>
          <t>2026-08-03</t>
        </is>
      </c>
      <c r="M245" s="0" t="inlineStr">
        <is>
          <t>2026-08-03</t>
        </is>
      </c>
      <c r="N245" s="0" t="n">
        <v>8</v>
      </c>
      <c r="O245" s="0">
        <f>任务计划表!K245</f>
        <v/>
      </c>
      <c r="P245" s="0">
        <f>IF(IF(任务计划表!L245="/",人员资源情况!$A$2,L245)&gt;M245,M245,(IF(任务计划表!L245="/",人员资源情况!$A$2,L245)))</f>
        <v/>
      </c>
      <c r="Q245" s="0">
        <f>IF(M245="/",人员资源情况!$B$2,任务计划表!M245)</f>
        <v/>
      </c>
      <c r="R245" s="0">
        <f>任务计划表!N245</f>
        <v/>
      </c>
      <c r="S245" s="0">
        <f>IF(O245=人员资源情况!C$2,1,0)</f>
        <v/>
      </c>
      <c r="T245" s="0">
        <f>IF(P245&gt;=人员资源情况!A$2,1,0)</f>
        <v/>
      </c>
      <c r="U245" s="0">
        <f>IF(Q245&lt;=人员资源情况!B$2,1,0)</f>
        <v/>
      </c>
      <c r="V245" s="0">
        <f>IF(T245*U245,Q245-P245,IF(T245&gt;U245,人员资源情况!B$2-P245,IF(T245&lt;U245,任务计划表!Q245-人员资源情况!A$2,0)))*R245*S245</f>
        <v/>
      </c>
      <c r="W245" s="0">
        <f>IF(V245&lt;0,0,V245)</f>
        <v/>
      </c>
    </row>
    <row r="246">
      <c r="B246" s="0" t="inlineStr">
        <is>
          <t>已删除</t>
        </is>
      </c>
      <c r="E246" s="0" t="inlineStr">
        <is>
          <t>测试看板</t>
        </is>
      </c>
      <c r="F246" s="0" t="inlineStr">
        <is>
          <t>TEST WEB</t>
        </is>
      </c>
      <c r="G246" s="0" t="inlineStr">
        <is>
          <t>1900-01-01</t>
        </is>
      </c>
      <c r="H246" s="0" t="inlineStr">
        <is>
          <t>2100-01-01</t>
        </is>
      </c>
      <c r="I246" s="0" t="inlineStr">
        <is>
          <t>新增</t>
        </is>
      </c>
      <c r="J246" s="0" t="inlineStr">
        <is>
          <t>SE设计</t>
        </is>
      </c>
      <c r="K246" s="0" t="inlineStr">
        <is>
          <t>@袁知正</t>
        </is>
      </c>
      <c r="L246" s="0" t="inlineStr">
        <is>
          <t>2026-08-03</t>
        </is>
      </c>
      <c r="M246" s="0" t="inlineStr">
        <is>
          <t>2026-08-03</t>
        </is>
      </c>
      <c r="N246" s="0" t="n">
        <v>8</v>
      </c>
      <c r="O246" s="0">
        <f>任务计划表!K246</f>
        <v/>
      </c>
      <c r="P246" s="0">
        <f>IF(IF(任务计划表!L246="/",人员资源情况!$A$2,L246)&gt;M246,M246,(IF(任务计划表!L246="/",人员资源情况!$A$2,L246)))</f>
        <v/>
      </c>
      <c r="Q246" s="0">
        <f>IF(M246="/",人员资源情况!$B$2,任务计划表!M246)</f>
        <v/>
      </c>
      <c r="R246" s="0">
        <f>任务计划表!N246</f>
        <v/>
      </c>
      <c r="S246" s="0">
        <f>IF(O246=人员资源情况!C$2,1,0)</f>
        <v/>
      </c>
      <c r="T246" s="0">
        <f>IF(P246&gt;=人员资源情况!A$2,1,0)</f>
        <v/>
      </c>
      <c r="U246" s="0">
        <f>IF(Q246&lt;=人员资源情况!B$2,1,0)</f>
        <v/>
      </c>
      <c r="V246" s="0">
        <f>IF(T246*U246,Q246-P246,IF(T246&gt;U246,人员资源情况!B$2-P246,IF(T246&lt;U246,任务计划表!Q246-人员资源情况!A$2,0)))*R246*S246</f>
        <v/>
      </c>
      <c r="W246" s="0">
        <f>IF(V246&lt;0,0,V246)</f>
        <v/>
      </c>
    </row>
    <row r="247">
      <c r="B247" s="0" t="inlineStr">
        <is>
          <t>已删除</t>
        </is>
      </c>
      <c r="E247" s="0" t="inlineStr">
        <is>
          <t>测试看板</t>
        </is>
      </c>
      <c r="F247" s="0" t="inlineStr">
        <is>
          <t>TEST WEB</t>
        </is>
      </c>
      <c r="G247" s="0" t="inlineStr">
        <is>
          <t>1900-01-01</t>
        </is>
      </c>
      <c r="H247" s="0" t="inlineStr">
        <is>
          <t>2100-01-01</t>
        </is>
      </c>
      <c r="I247" s="0" t="inlineStr">
        <is>
          <t>新增</t>
        </is>
      </c>
      <c r="J247" s="0" t="inlineStr">
        <is>
          <t>测试工程师</t>
        </is>
      </c>
      <c r="K247" s="0" t="inlineStr">
        <is>
          <t>@贾峰</t>
        </is>
      </c>
      <c r="L247" s="0" t="inlineStr">
        <is>
          <t>2026-08-03</t>
        </is>
      </c>
      <c r="M247" s="0" t="inlineStr">
        <is>
          <t>2026-08-03</t>
        </is>
      </c>
      <c r="N247" s="0" t="n">
        <v>8</v>
      </c>
      <c r="O247" s="0">
        <f>任务计划表!K247</f>
        <v/>
      </c>
      <c r="P247" s="0">
        <f>IF(IF(任务计划表!L247="/",人员资源情况!$A$2,L247)&gt;M247,M247,(IF(任务计划表!L247="/",人员资源情况!$A$2,L247)))</f>
        <v/>
      </c>
      <c r="Q247" s="0">
        <f>IF(M247="/",人员资源情况!$B$2,任务计划表!M247)</f>
        <v/>
      </c>
      <c r="R247" s="0">
        <f>任务计划表!N247</f>
        <v/>
      </c>
      <c r="S247" s="0">
        <f>IF(O247=人员资源情况!C$2,1,0)</f>
        <v/>
      </c>
      <c r="T247" s="0">
        <f>IF(P247&gt;=人员资源情况!A$2,1,0)</f>
        <v/>
      </c>
      <c r="U247" s="0">
        <f>IF(Q247&lt;=人员资源情况!B$2,1,0)</f>
        <v/>
      </c>
      <c r="V247" s="0">
        <f>IF(T247*U247,Q247-P247,IF(T247&gt;U247,人员资源情况!B$2-P247,IF(T247&lt;U247,任务计划表!Q247-人员资源情况!A$2,0)))*R247*S247</f>
        <v/>
      </c>
      <c r="W247" s="0">
        <f>IF(V247&lt;0,0,V247)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  <row r="77">
      <c r="A77" s="0" t="inlineStr">
        <is>
          <t>OP-20260803-003</t>
        </is>
      </c>
      <c r="B77" s="0" t="inlineStr">
        <is>
          <t>2026-08-03T01:48:45.601060</t>
        </is>
      </c>
      <c r="C77" s="0" t="inlineStr">
        <is>
          <t>system</t>
        </is>
      </c>
      <c r="D77" s="0" t="inlineStr">
        <is>
          <t>requirement_auto_archive</t>
        </is>
      </c>
      <c r="E77" s="0" t="inlineStr">
        <is>
          <t>[]</t>
        </is>
      </c>
      <c r="F77" s="0" t="inlineStr">
        <is>
          <t>["测试需求看板"]</t>
        </is>
      </c>
      <c r="G77" s="0" t="inlineStr">
        <is>
          <t>{"status": "accepted"}</t>
        </is>
      </c>
      <c r="H77" s="0" t="inlineStr">
        <is>
          <t>{"status": "archived", "原因": "3天未确认"}</t>
        </is>
      </c>
      <c r="I77" s="0" t="inlineStr">
        <is>
          <t>direct</t>
        </is>
      </c>
      <c r="J77" s="0" t="inlineStr"/>
      <c r="K77" s="0" t="inlineStr"/>
      <c r="L77" s="0" t="inlineStr"/>
    </row>
    <row r="78">
      <c r="A78" s="0" t="inlineStr">
        <is>
          <t>OP-20260803-004</t>
        </is>
      </c>
      <c r="B78" s="0" t="inlineStr">
        <is>
          <t>2026-08-03T01:59:50.788125</t>
        </is>
      </c>
      <c r="C78" s="0" t="inlineStr">
        <is>
          <t>shj</t>
        </is>
      </c>
      <c r="D78" s="0" t="inlineStr">
        <is>
          <t>edit</t>
        </is>
      </c>
      <c r="E78" s="0" t="inlineStr">
        <is>
          <t>[222]</t>
        </is>
      </c>
      <c r="F78" s="0" t="inlineStr">
        <is>
          <t>["蓝牙工装"]</t>
        </is>
      </c>
      <c r="G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4}</t>
        </is>
      </c>
      <c r="H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"2026-08-09", "日平均工时": 4}</t>
        </is>
      </c>
      <c r="I78" s="0" t="inlineStr">
        <is>
          <t>approved</t>
        </is>
      </c>
      <c r="J78" s="0" t="inlineStr"/>
      <c r="K78" s="0" t="inlineStr">
        <is>
          <t>tjs</t>
        </is>
      </c>
      <c r="L78" s="0" t="inlineStr">
        <is>
          <t>2026-08-03T02:30:00.390230</t>
        </is>
      </c>
    </row>
    <row r="79">
      <c r="A79" s="0" t="inlineStr">
        <is>
          <t>OP-20260803-005</t>
        </is>
      </c>
      <c r="B79" s="0" t="inlineStr">
        <is>
          <t>2026-08-03T02:00:55.893507</t>
        </is>
      </c>
      <c r="C79" s="0" t="inlineStr">
        <is>
          <t>shj</t>
        </is>
      </c>
      <c r="D79" s="0" t="inlineStr">
        <is>
          <t>edit</t>
        </is>
      </c>
      <c r="E79" s="0" t="inlineStr">
        <is>
          <t>[223]</t>
        </is>
      </c>
      <c r="F79" s="0" t="inlineStr">
        <is>
          <t>["物料替换"]</t>
        </is>
      </c>
      <c r="G79" s="0" t="inlineStr">
        <is>
          <t>{"部门": "日常工作", "项目": "物料替换", "项目描述": "光耦替代料测试", "资源类型": "硬件工程师", "资源名称": "舒杰", "资源开始时间": "2026-07-27", "资源结束时间": "2026-07-31", "日平均工时": 2}</t>
        </is>
      </c>
      <c r="H79" s="0" t="inlineStr">
        <is>
          <t>{"部门": "日常工作", "项目": "物料替换", "项目描述": "光耦替代料测试", "资源类型": "硬件工程师", "资源名称": "舒杰", "资源开始时间": "2026-07-27", "资源结束时间": "2026-08-09", "日平均工时": 2}</t>
        </is>
      </c>
      <c r="I79" s="0" t="inlineStr">
        <is>
          <t>approved</t>
        </is>
      </c>
      <c r="J79" s="0" t="inlineStr"/>
      <c r="K79" s="0" t="inlineStr">
        <is>
          <t>tjs</t>
        </is>
      </c>
      <c r="L79" s="0" t="inlineStr">
        <is>
          <t>2026-08-03T02:30:50.188229</t>
        </is>
      </c>
    </row>
    <row r="80">
      <c r="A80" s="0" t="inlineStr">
        <is>
          <t>OP-20260803-006</t>
        </is>
      </c>
      <c r="B80" s="0" t="inlineStr">
        <is>
          <t>2026-08-03T02:17:11.192158</t>
        </is>
      </c>
      <c r="C80" s="0" t="inlineStr">
        <is>
          <t>wcw</t>
        </is>
      </c>
      <c r="D80" s="0" t="inlineStr">
        <is>
          <t>edit</t>
        </is>
      </c>
      <c r="E80" s="0" t="inlineStr">
        <is>
          <t>[28]</t>
        </is>
      </c>
      <c r="F80" s="0" t="inlineStr">
        <is>
          <t>["墨西哥MIAA"]</t>
        </is>
      </c>
      <c r="G80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H80" s="0" t="inlineStr">
        <is>
          <t>{"部门": "拉美", "项目": "墨西哥MIAA", "项目描述": "TR4A-测试阶段", "资源类型": "第二轮测试", "资源名称": "危才文", "资源开始时间": "2026-07-30", "资源结束时间": "2026-08-06", "日平均工时": 2}</t>
        </is>
      </c>
      <c r="I80" s="0" t="inlineStr">
        <is>
          <t>approved</t>
        </is>
      </c>
      <c r="J80" s="0" t="inlineStr"/>
      <c r="K80" s="0" t="inlineStr">
        <is>
          <t>xjq</t>
        </is>
      </c>
      <c r="L80" s="0" t="inlineStr">
        <is>
          <t>2026-08-03T02:20:35.891066</t>
        </is>
      </c>
    </row>
    <row r="81">
      <c r="A81" s="0" t="inlineStr">
        <is>
          <t>OP-20260803-007</t>
        </is>
      </c>
      <c r="B81" s="0" t="inlineStr">
        <is>
          <t>2026-08-03T02:17:39.696674</t>
        </is>
      </c>
      <c r="C81" s="0" t="inlineStr">
        <is>
          <t>wcw</t>
        </is>
      </c>
      <c r="D81" s="0" t="inlineStr">
        <is>
          <t>edit</t>
        </is>
      </c>
      <c r="E81" s="0" t="inlineStr">
        <is>
          <t>[32]</t>
        </is>
      </c>
      <c r="F81" s="0" t="inlineStr">
        <is>
          <t>["WMBUS-OMS"]</t>
        </is>
      </c>
      <c r="G8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H81" s="0" t="inlineStr">
        <is>
          <t>{}</t>
        </is>
      </c>
      <c r="I81" s="0" t="inlineStr">
        <is>
          <t>rejected</t>
        </is>
      </c>
      <c r="J81" s="0" t="inlineStr"/>
      <c r="K81" s="0" t="inlineStr">
        <is>
          <t>xjq</t>
        </is>
      </c>
      <c r="L81" s="0" t="inlineStr">
        <is>
          <t>2026-08-03T02:21:08.193108</t>
        </is>
      </c>
    </row>
    <row r="82">
      <c r="A82" s="0" t="inlineStr">
        <is>
          <t>OP-20260803-008</t>
        </is>
      </c>
      <c r="B82" s="0" t="inlineStr">
        <is>
          <t>2026-08-03T02:18:08.988665</t>
        </is>
      </c>
      <c r="C82" s="0" t="inlineStr">
        <is>
          <t>wcw</t>
        </is>
      </c>
      <c r="D82" s="0" t="inlineStr">
        <is>
          <t>edit</t>
        </is>
      </c>
      <c r="E82" s="0" t="inlineStr">
        <is>
          <t>[55]</t>
        </is>
      </c>
      <c r="F82" s="0" t="inlineStr">
        <is>
          <t>["研究院LoRaWAN"]</t>
        </is>
      </c>
      <c r="G82" s="0" t="inlineStr">
        <is>
          <t>{"部门": "产品降本", "项目": "研究院LoRaWAN", "项目描述": "LoRaWAN通用产品+兼容lierda", "资源类型": "固件工程师-开发", "资源名称": "危才文", "资源开始时间": "2026-07-20", "资源结束时间": "2026-08-04", "日平均工时": 6}</t>
        </is>
      </c>
      <c r="H82" s="0" t="inlineStr">
        <is>
          <t>{"部门": "产品降本", "项目": "研究院LoRaWAN", "项目描述": "LoRaWAN通用产品+兼容lierda", "资源类型": "固件工程师-开发", "资源名称": "危才文", "资源开始时间": "2026-07-30", "资源结束时间": "2026-08-09", "日平均工时": 6}</t>
        </is>
      </c>
      <c r="I82" s="0" t="inlineStr">
        <is>
          <t>approved</t>
        </is>
      </c>
      <c r="J82" s="0" t="inlineStr"/>
      <c r="K82" s="0" t="inlineStr">
        <is>
          <t>xjq</t>
        </is>
      </c>
      <c r="L82" s="0" t="inlineStr">
        <is>
          <t>2026-08-03T02:21:43.789208</t>
        </is>
      </c>
    </row>
    <row r="83">
      <c r="A83" s="0" t="inlineStr">
        <is>
          <t>OP-20260803-009</t>
        </is>
      </c>
      <c r="B83" s="0" t="inlineStr">
        <is>
          <t>2026-08-03T02:36:13.088372</t>
        </is>
      </c>
      <c r="C83" s="0" t="inlineStr">
        <is>
          <t>xjq</t>
        </is>
      </c>
      <c r="D83" s="0" t="inlineStr">
        <is>
          <t>requirement_submit</t>
        </is>
      </c>
      <c r="E83" s="0" t="inlineStr">
        <is>
          <t>[]</t>
        </is>
      </c>
      <c r="F83" s="0" t="inlineStr">
        <is>
          <t>["测试需求"]</t>
        </is>
      </c>
      <c r="G83" s="0" t="inlineStr">
        <is>
          <t>{}</t>
        </is>
      </c>
      <c r="H83" s="0" t="inlineStr">
        <is>
          <t>{"status": "submitted"}</t>
        </is>
      </c>
      <c r="I83" s="0" t="inlineStr">
        <is>
          <t>direct</t>
        </is>
      </c>
      <c r="J83" s="0" t="inlineStr"/>
      <c r="K83" s="0" t="inlineStr"/>
      <c r="L83" s="0" t="inlineStr"/>
    </row>
    <row r="84">
      <c r="A84" s="0" t="inlineStr">
        <is>
          <t>OP-20260803-010</t>
        </is>
      </c>
      <c r="B84" s="0" t="inlineStr">
        <is>
          <t>2026-08-03T02:36:50.989288</t>
        </is>
      </c>
      <c r="C84" s="0" t="inlineStr">
        <is>
          <t>xjq</t>
        </is>
      </c>
      <c r="D84" s="0" t="inlineStr">
        <is>
          <t>requirement_delete</t>
        </is>
      </c>
      <c r="E84" s="0" t="inlineStr">
        <is>
          <t>[]</t>
        </is>
      </c>
      <c r="F84" s="0" t="inlineStr">
        <is>
          <t>["[已删除]"]</t>
        </is>
      </c>
      <c r="G84" s="0" t="inlineStr">
        <is>
          <t>{"status": "submitted"}</t>
        </is>
      </c>
      <c r="H84" s="0" t="inlineStr">
        <is>
          <t>{"status": "deleted"}</t>
        </is>
      </c>
      <c r="I84" s="0" t="inlineStr">
        <is>
          <t>direct</t>
        </is>
      </c>
      <c r="J84" s="0" t="inlineStr"/>
      <c r="K84" s="0" t="inlineStr"/>
      <c r="L84" s="0" t="inlineStr"/>
    </row>
    <row r="85">
      <c r="A85" s="0" t="inlineStr">
        <is>
          <t>OP-20260803-011</t>
        </is>
      </c>
      <c r="B85" s="0" t="inlineStr">
        <is>
          <t>2026-08-03T03:06:28.288723</t>
        </is>
      </c>
      <c r="C85" s="0" t="inlineStr">
        <is>
          <t>dajinyu</t>
        </is>
      </c>
      <c r="D85" s="0" t="inlineStr">
        <is>
          <t>archive</t>
        </is>
      </c>
      <c r="E85" s="0" t="inlineStr">
        <is>
          <t>[220]</t>
        </is>
      </c>
      <c r="F85" s="0" t="inlineStr">
        <is>
          <t>["EEPROM驱动协助"]</t>
        </is>
      </c>
      <c r="G85" s="0" t="inlineStr">
        <is>
          <t>{"部门": "日常工作", "项目": "EEPROM驱动协助", "项目描述": "新增", "资源类型": "固件工程师", "资源名称": "答金雨", "资源开始时间": "2026-07-28", "资源结束时间": "2026-07-31", "日平均工时": 1}</t>
        </is>
      </c>
      <c r="H85" s="0" t="inlineStr">
        <is>
          <t>{}</t>
        </is>
      </c>
      <c r="I85" s="0" t="inlineStr">
        <is>
          <t>approved</t>
        </is>
      </c>
      <c r="J85" s="0" t="inlineStr"/>
      <c r="K85" s="0" t="inlineStr">
        <is>
          <t>xjq</t>
        </is>
      </c>
      <c r="L85" s="0" t="inlineStr">
        <is>
          <t>2026-08-03T03:14:39.884295</t>
        </is>
      </c>
    </row>
    <row r="86">
      <c r="A86" s="0" t="inlineStr">
        <is>
          <t>OP-20260803-012</t>
        </is>
      </c>
      <c r="B86" s="0" t="inlineStr">
        <is>
          <t>2026-08-03T06:19:51.587415</t>
        </is>
      </c>
      <c r="C86" s="0" t="inlineStr">
        <is>
          <t>system</t>
        </is>
      </c>
      <c r="D86" s="0" t="inlineStr">
        <is>
          <t>requirement_auto_archive</t>
        </is>
      </c>
      <c r="E86" s="0" t="inlineStr">
        <is>
          <t>[]</t>
        </is>
      </c>
      <c r="F86" s="0" t="inlineStr">
        <is>
          <t>["测试需求看板"]</t>
        </is>
      </c>
      <c r="G86" s="0" t="inlineStr">
        <is>
          <t>{"status": "accepted"}</t>
        </is>
      </c>
      <c r="H86" s="0" t="inlineStr">
        <is>
          <t>{"status": "archived", "原因": "3天未确认"}</t>
        </is>
      </c>
      <c r="I86" s="0" t="inlineStr">
        <is>
          <t>direct</t>
        </is>
      </c>
      <c r="J86" s="0" t="inlineStr"/>
      <c r="K86" s="0" t="inlineStr"/>
      <c r="L86" s="0" t="inlineStr"/>
    </row>
    <row r="87">
      <c r="A87" s="0" t="inlineStr">
        <is>
          <t>OP-20260803-013</t>
        </is>
      </c>
      <c r="B87" s="0" t="inlineStr">
        <is>
          <t>2026-08-03T07:04:05.422850</t>
        </is>
      </c>
      <c r="C87" s="0" t="inlineStr">
        <is>
          <t>system</t>
        </is>
      </c>
      <c r="D87" s="0" t="inlineStr">
        <is>
          <t>requirement_auto_archive</t>
        </is>
      </c>
      <c r="E87" s="0" t="inlineStr">
        <is>
          <t>[]</t>
        </is>
      </c>
      <c r="F87" s="0" t="inlineStr">
        <is>
          <t>["测试需求看板"]</t>
        </is>
      </c>
      <c r="G87" s="0" t="inlineStr">
        <is>
          <t>{"status": "accepted"}</t>
        </is>
      </c>
      <c r="H87" s="0" t="inlineStr">
        <is>
          <t>{"status": "archived", "原因": "3天未确认"}</t>
        </is>
      </c>
      <c r="I87" s="0" t="inlineStr">
        <is>
          <t>direct</t>
        </is>
      </c>
      <c r="J87" s="0" t="inlineStr"/>
      <c r="K87" s="0" t="inlineStr"/>
      <c r="L87" s="0" t="inlineStr"/>
    </row>
    <row r="88">
      <c r="A88" s="0" t="inlineStr">
        <is>
          <t>OP-20260804-001</t>
        </is>
      </c>
      <c r="B88" s="0" t="inlineStr">
        <is>
          <t>2026-08-04T02:54:13.816020</t>
        </is>
      </c>
      <c r="C88" s="0" t="inlineStr">
        <is>
          <t>zgq</t>
        </is>
      </c>
      <c r="D88" s="0" t="inlineStr">
        <is>
          <t>edit</t>
        </is>
      </c>
      <c r="E88" s="0" t="inlineStr">
        <is>
          <t>[9]</t>
        </is>
      </c>
      <c r="F88" s="0" t="inlineStr">
        <is>
          <t>["巴西NB-V3.1预研"]</t>
        </is>
      </c>
      <c r="G88" s="0" t="inlineStr">
        <is>
          <t>{"部门": "巴西经营中心", "项目": "巴西NB-V3.1预研", "项目描述": "", "资源类型": "固件工程师-三轴传感器预研", "资源名称": "张国庆", "资源开始时间": "2026-08-03", "资源结束时间": "2026-08-07", "日平均工时": 4}</t>
        </is>
      </c>
      <c r="H88" s="0" t="inlineStr">
        <is>
          <t>{"部门": "巴西经营中心", "项目": "巴西NB-V3.1预研", "项目描述": "", "资源类型": "固件工程师-三轴传感器预研", "资源名称": "张国庆", "资源开始时间": "2026-08-03", "资源结束时间": "2026-08-31", "日平均工时": 4}</t>
        </is>
      </c>
      <c r="I88" s="0" t="inlineStr">
        <is>
          <t>pending</t>
        </is>
      </c>
      <c r="J88" s="0" t="inlineStr"/>
      <c r="K88" s="0" t="inlineStr"/>
      <c r="L88" s="0" t="inlineStr"/>
    </row>
    <row r="89">
      <c r="A89" s="0" t="inlineStr">
        <is>
          <t>OP-20260804-002</t>
        </is>
      </c>
      <c r="B89" s="0" t="inlineStr">
        <is>
          <t>2026-08-04T08:11:13.518964</t>
        </is>
      </c>
      <c r="C89" s="0" t="inlineStr">
        <is>
          <t>zgq</t>
        </is>
      </c>
      <c r="D89" s="0" t="inlineStr">
        <is>
          <t>edit</t>
        </is>
      </c>
      <c r="E89" s="0" t="inlineStr">
        <is>
          <t>[7]</t>
        </is>
      </c>
      <c r="F89" s="0" t="inlineStr">
        <is>
          <t>["巴西NB-V3"]</t>
        </is>
      </c>
      <c r="G89" s="0" t="inlineStr">
        <is>
          <t>{"部门": "巴西经营中心", "项目": "巴西NB-V3", "项目描述": "TR4A-测试阶段", "资源类型": "固件工程师-L660测试/BC680", "资源名称": "张国庆", "资源开始时间": "2026-07-28", "资源结束时间": "2026-08-05", "日平均工时": 4}</t>
        </is>
      </c>
      <c r="H89" s="0" t="inlineStr">
        <is>
          <t>{"部门": "巴西经营中心", "项目": "巴西NB-V3", "项目描述": "TR4A-测试阶段", "资源类型": "固件工程师-L660测试/BC680", "资源名称": "张国庆", "资源开始时间": "2026-07-28", "资源结束时间": "2026-08-31", "日平均工时": 4}</t>
        </is>
      </c>
      <c r="I89" s="0" t="inlineStr">
        <is>
          <t>pending</t>
        </is>
      </c>
      <c r="J89" s="0" t="inlineStr"/>
      <c r="K89" s="0" t="inlineStr"/>
      <c r="L89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2026-08-05T00:35:54Z</dcterms:modified>
  <cp:lastModifiedBy>项家祺</cp:lastModifiedBy>
</cp:coreProperties>
</file>