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t="inlineStr">
        <is>
          <t>日常工作</t>
        </is>
      </c>
      <c r="F224" t="inlineStr">
        <is>
          <t>物料替换</t>
        </is>
      </c>
      <c r="G224" t="inlineStr">
        <is>
          <t>2026-07-27</t>
        </is>
      </c>
      <c r="H224" t="inlineStr">
        <is>
          <t>2026-07-31</t>
        </is>
      </c>
      <c r="I224" t="inlineStr">
        <is>
          <t>光耦替代料测试</t>
        </is>
      </c>
      <c r="J224" t="inlineStr">
        <is>
          <t>硬件工程师</t>
        </is>
      </c>
      <c r="K224" t="inlineStr">
        <is>
          <t>@舒杰(80018942)</t>
        </is>
      </c>
      <c r="L224" t="inlineStr">
        <is>
          <t>2026-07-27</t>
        </is>
      </c>
      <c r="M224" t="inlineStr">
        <is>
          <t>2026-07-31</t>
        </is>
      </c>
      <c r="N224" t="n">
        <v>2</v>
      </c>
      <c r="O224">
        <f>任务计划表!K224</f>
        <v/>
      </c>
      <c r="P224">
        <f>IF(IF(任务计划表!L224="/",人员资源情况!$A$2,L224)&gt;M224,M224,(IF(任务计划表!L224="/",人员资源情况!$A$2,L224)))</f>
        <v/>
      </c>
      <c r="Q224">
        <f>IF(M224="/",人员资源情况!$B$2,任务计划表!M224)</f>
        <v/>
      </c>
      <c r="R224">
        <f>任务计划表!N224</f>
        <v/>
      </c>
      <c r="S224">
        <f>IF(O224=人员资源情况!C$2,1,0)</f>
        <v/>
      </c>
      <c r="T224">
        <f>IF(P224&gt;=人员资源情况!A$2,1,0)</f>
        <v/>
      </c>
      <c r="U224">
        <f>IF(Q224&lt;=人员资源情况!B$2,1,0)</f>
        <v/>
      </c>
      <c r="V224">
        <f>IF(T224*U224,Q224-P224,IF(T224&gt;U224,人员资源情况!B$2-P224,IF(T224&lt;U224,任务计划表!Q224-人员资源情况!A$2,0)))*R224*S224</f>
        <v/>
      </c>
      <c r="W224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pending</t>
        </is>
      </c>
      <c r="J69" s="0" t="inlineStr"/>
      <c r="K69" s="0" t="inlineStr"/>
      <c r="L69" s="0" t="inlineStr"/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2026-07-31T11:22:06Z</dcterms:modified>
  <cp:lastModifiedBy>项家祺</cp:lastModifiedBy>
</cp:coreProperties>
</file>